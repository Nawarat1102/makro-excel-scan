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ABCE999-E58F-4B49-8DFB-E716FD632004}" xr6:coauthVersionLast="46" xr6:coauthVersionMax="46" xr10:uidLastSave="{00000000-0000-0000-0000-000000000000}"/>
  <bookViews>
    <workbookView xWindow="2652" yWindow="1416" windowWidth="17280" windowHeight="10308" activeTab="1" xr2:uid="{F81E84FA-6A4E-468D-AC6D-9CF676795BE0}"/>
  </bookViews>
  <sheets>
    <sheet name="Sheet1" sheetId="1" r:id="rId1"/>
    <sheet name="Sheet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22" i="2" s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B62" i="1" s="1"/>
  <c r="B6" i="1"/>
  <c r="D61" i="1" l="1"/>
</calcChain>
</file>

<file path=xl/sharedStrings.xml><?xml version="1.0" encoding="utf-8"?>
<sst xmlns="http://schemas.openxmlformats.org/spreadsheetml/2006/main" count="109" uniqueCount="94">
  <si>
    <t>Makro ใบสั่งผลิต (FRESHFOOD)</t>
  </si>
  <si>
    <t>นครศรีธรรมราช</t>
  </si>
  <si>
    <t>supplier: NO. 31959</t>
  </si>
  <si>
    <t>ดาต้าล๊อกเกอร์</t>
  </si>
  <si>
    <t>รายชื่อคนขับ</t>
  </si>
  <si>
    <t>วันที่สั่งสินค้า 10/06/2026</t>
  </si>
  <si>
    <t xml:space="preserve">                  มี                                                           ไม่มี</t>
  </si>
  <si>
    <t>เลขที่ซีล</t>
  </si>
  <si>
    <t>วันที่ส่งสินค้า11/06/2026</t>
  </si>
  <si>
    <t>ไม่เอาตระกร้าเขียว</t>
  </si>
  <si>
    <t xml:space="preserve">อุณหภูมิรถขนส่ง (-8)                                                           </t>
  </si>
  <si>
    <t>ร.4 ชิ้นส่วน</t>
  </si>
  <si>
    <t>ลำดับที่</t>
  </si>
  <si>
    <t>รหัสสินค้า</t>
  </si>
  <si>
    <t>รายการสินค้า</t>
  </si>
  <si>
    <t>จำนวนที่สั่งซื้อ</t>
  </si>
  <si>
    <t>หมายเหตุ</t>
  </si>
  <si>
    <t>หน้ากากหมู</t>
  </si>
  <si>
    <t>รับแต๊มสีได้</t>
  </si>
  <si>
    <t>สันในหมู</t>
  </si>
  <si>
    <t>สันนอกหมู</t>
  </si>
  <si>
    <t>สะโพกหมู</t>
  </si>
  <si>
    <t>หัวไหล่หมู</t>
  </si>
  <si>
    <t>สันคอหมูบั้ง</t>
  </si>
  <si>
    <t>สามชั้นหมู</t>
  </si>
  <si>
    <t>แผ่นบาง</t>
  </si>
  <si>
    <t>ขาหน้าหมูเผา</t>
  </si>
  <si>
    <t>ขาหลังหมูเผา</t>
  </si>
  <si>
    <t>มันหมู</t>
  </si>
  <si>
    <t>หัวใจหมู</t>
  </si>
  <si>
    <t>ตับหมู</t>
  </si>
  <si>
    <t>กระเพาะหมู</t>
  </si>
  <si>
    <t>เซ่งจี้หมู (ไตหมู)</t>
  </si>
  <si>
    <t>ไส้ใหญ่หมู</t>
  </si>
  <si>
    <t>ไส้ตันหมูเล็ก</t>
  </si>
  <si>
    <t>กระดูกซุปหมู</t>
  </si>
  <si>
    <t>ความยาว 4-7 นิ้ว</t>
  </si>
  <si>
    <t>กระดูกข้อขาหมู</t>
  </si>
  <si>
    <t>หางหมูเผา</t>
  </si>
  <si>
    <t>ส่งหางยาวได้</t>
  </si>
  <si>
    <t>ม้ามหมู</t>
  </si>
  <si>
    <t>คอหมูย่าง</t>
  </si>
  <si>
    <t>สะโพกหมูติดหนัง</t>
  </si>
  <si>
    <t>แก้มหมู</t>
  </si>
  <si>
    <t>หมูบดเกรด B (เศษเนื้อหมู)</t>
  </si>
  <si>
    <t>กระดูกอ่อนใบพาย</t>
  </si>
  <si>
    <t>หมูบดผสมมัน 10%</t>
  </si>
  <si>
    <t>ซีลปากถุง</t>
  </si>
  <si>
    <t>ซี่โครงหมูแผ่น</t>
  </si>
  <si>
    <t>สามชั้นสดสไลด์ (supทำ)</t>
  </si>
  <si>
    <t>สะโพกหมูสไลด์ (supทำ)</t>
  </si>
  <si>
    <t>ลิ้นหมูสด</t>
  </si>
  <si>
    <t>กระดูกซุปติดเนื้อ</t>
  </si>
  <si>
    <t>หนังหมูสด</t>
  </si>
  <si>
    <t>สันคอสไลด์(supทำ)</t>
  </si>
  <si>
    <t>สันนอกหมูสไลด์ (supทำ)</t>
  </si>
  <si>
    <t>สามชั้นหมูตัดเส้น(supทำ)</t>
  </si>
  <si>
    <t>สามชั้นหมูตัดเส้น(supทำ) 2 นิ้ว</t>
  </si>
  <si>
    <t>ซี่โครงหมูตัดเส้น(sup ทำ)</t>
  </si>
  <si>
    <t>ขาหมูเลาะกระดูกติดหนัง</t>
  </si>
  <si>
    <t>หัวไหล่หมูติดหนังสไลด์</t>
  </si>
  <si>
    <t xml:space="preserve">ใส่ถุงละ 5 กก. </t>
  </si>
  <si>
    <t>ปอดหมู</t>
  </si>
  <si>
    <t>ไส้อ่อนหมู</t>
  </si>
  <si>
    <t>ตัดช่อ</t>
  </si>
  <si>
    <t>เครื่องในหมูรวม</t>
  </si>
  <si>
    <t>มันหมูหั่นเต๋า</t>
  </si>
  <si>
    <t>กระดูกอกหมู</t>
  </si>
  <si>
    <t>หมูบดผสมมัน 30%</t>
  </si>
  <si>
    <t>เนื้อไหล่หมูติดหนังหั่นชิ้น(M)</t>
  </si>
  <si>
    <t>ซี่โครงหั่นชิ้น</t>
  </si>
  <si>
    <t>อ้อมคอหมู(มันคอ)</t>
  </si>
  <si>
    <t>ขาหมูเลาะกระดูกตัดชิ้น</t>
  </si>
  <si>
    <t>สามชั้นหั่นแกง</t>
  </si>
  <si>
    <t>สามชั้นหั่นพะโล้</t>
  </si>
  <si>
    <t>คากิ</t>
  </si>
  <si>
    <t xml:space="preserve">ขาหมูหั่นชิ้น </t>
  </si>
  <si>
    <t>จำนวนรายการ</t>
  </si>
  <si>
    <t>รวมน้ำหนัก</t>
  </si>
  <si>
    <t>รวมตะกร้า</t>
  </si>
  <si>
    <t>บันทึกการชั่งเครื่องใน    สาขาตรัง</t>
  </si>
  <si>
    <t>เวลาเริ่ม</t>
  </si>
  <si>
    <t>แล้วเสร็จ</t>
  </si>
  <si>
    <t>จำนวนคน</t>
  </si>
  <si>
    <t>จำนวนถุง</t>
  </si>
  <si>
    <t>ไส้น้อย (ไส้ขม)</t>
  </si>
  <si>
    <t>กระเพาะหมูลวก</t>
  </si>
  <si>
    <t>ปอดลวก</t>
  </si>
  <si>
    <t>ขั้วตับหมู</t>
  </si>
  <si>
    <t>ตับหมูสไลด์</t>
  </si>
  <si>
    <t>หน้ากากหมูต้ม</t>
  </si>
  <si>
    <t>เลือดหมูต้ม</t>
  </si>
  <si>
    <t xml:space="preserve">ผู้รายงาน </t>
  </si>
  <si>
    <t>ผู้ตรวจสอบ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</si>
</sst>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8"/>
      <color theme="1"/>
      <name val="Angsana New"/>
      <family val="1"/>
    </font>
    <font>
      <sz val="18"/>
      <color theme="1"/>
      <name val="Tahoma"/>
      <family val="2"/>
      <scheme val="minor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16"/>
      <name val="Tahoma"/>
      <family val="2"/>
      <scheme val="minor"/>
    </font>
    <font>
      <sz val="16"/>
      <color theme="1"/>
      <name val="Tahoma"/>
      <family val="2"/>
      <scheme val="minor"/>
    </font>
    <font>
      <b/>
      <sz val="11"/>
      <color theme="1"/>
      <name val="Angsana New"/>
      <family val="1"/>
    </font>
    <font>
      <sz val="11"/>
      <color theme="1"/>
      <name val="Angsana New"/>
      <family val="1"/>
    </font>
    <font>
      <b/>
      <sz val="16"/>
      <color indexed="8"/>
      <name val="Angsana New"/>
      <family val="1"/>
    </font>
    <font>
      <sz val="16"/>
      <color theme="1"/>
      <name val="Angsana New"/>
      <family val="1"/>
    </font>
    <font>
      <sz val="20"/>
      <color theme="1"/>
      <name val="Angsana New"/>
      <family val="1"/>
    </font>
    <font>
      <b/>
      <sz val="18"/>
      <name val="Angsana New"/>
      <family val="1"/>
      <charset val="222"/>
    </font>
    <font>
      <sz val="14"/>
      <name val="AngsanaUPC"/>
      <family val="1"/>
      <charset val="222"/>
    </font>
    <font>
      <sz val="20"/>
      <name val="Angsana New"/>
      <family val="1"/>
    </font>
    <font>
      <sz val="20"/>
      <color theme="1"/>
      <name val="Angsana New"/>
      <family val="1"/>
      <charset val="222"/>
    </font>
    <font>
      <sz val="11"/>
      <color rgb="FFFF0000"/>
      <name val="Tahoma"/>
      <family val="2"/>
      <scheme val="minor"/>
    </font>
    <font>
      <b/>
      <sz val="14"/>
      <color theme="1"/>
      <name val="Tahoma"/>
      <family val="2"/>
      <charset val="222"/>
      <scheme val="minor"/>
    </font>
    <font>
      <sz val="14"/>
      <color theme="1"/>
      <name val="Tahoma"/>
      <family val="2"/>
      <scheme val="minor"/>
    </font>
    <font>
      <b/>
      <sz val="18"/>
      <color theme="1"/>
      <name val="Angsana New"/>
      <family val="1"/>
      <charset val="222"/>
    </font>
    <font>
      <sz val="18"/>
      <color theme="1"/>
      <name val="Angsana New"/>
      <family val="1"/>
    </font>
    <font>
      <sz val="11"/>
      <name val="Tahoma"/>
      <family val="2"/>
      <scheme val="minor"/>
    </font>
    <font>
      <sz val="16"/>
      <name val="Angsana New"/>
      <family val="1"/>
    </font>
    <font>
      <b/>
      <sz val="16"/>
      <color theme="1"/>
      <name val="Angsana New"/>
      <family val="1"/>
      <charset val="22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/>
  </cellStyleXfs>
  <cellXfs count="4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2" xfId="0" applyFont="1" applyBorder="1" applyAlignment="1">
      <alignment horizontal="left" inden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8" fillId="0" borderId="3" xfId="0" applyFont="1" applyBorder="1" applyAlignment="1">
      <alignment horizontal="right"/>
    </xf>
    <xf numFmtId="0" fontId="9" fillId="0" borderId="0" xfId="0" applyFont="1"/>
    <xf numFmtId="0" fontId="2" fillId="2" borderId="0" xfId="0" applyFont="1" applyFill="1"/>
    <xf numFmtId="22" fontId="0" fillId="0" borderId="0" xfId="0" applyNumberFormat="1"/>
    <xf numFmtId="0" fontId="4" fillId="0" borderId="2" xfId="0" applyFont="1" applyBorder="1"/>
    <xf numFmtId="0" fontId="10" fillId="0" borderId="0" xfId="0" applyFont="1"/>
    <xf numFmtId="0" fontId="0" fillId="0" borderId="2" xfId="0" applyBorder="1"/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3" fontId="13" fillId="0" borderId="4" xfId="0" applyNumberFormat="1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9" fontId="15" fillId="4" borderId="5" xfId="1" applyNumberFormat="1" applyFont="1" applyFill="1" applyBorder="1" applyAlignment="1">
      <alignment horizontal="left"/>
    </xf>
    <xf numFmtId="0" fontId="12" fillId="0" borderId="6" xfId="0" applyFont="1" applyBorder="1"/>
    <xf numFmtId="0" fontId="16" fillId="0" borderId="4" xfId="0" applyFont="1" applyBorder="1"/>
    <xf numFmtId="0" fontId="0" fillId="0" borderId="4" xfId="0" applyBorder="1"/>
    <xf numFmtId="0" fontId="17" fillId="5" borderId="0" xfId="0" applyFont="1" applyFill="1" applyAlignment="1">
      <alignment horizontal="center"/>
    </xf>
    <xf numFmtId="3" fontId="18" fillId="0" borderId="7" xfId="0" applyNumberFormat="1" applyFont="1" applyBorder="1"/>
    <xf numFmtId="0" fontId="0" fillId="0" borderId="8" xfId="0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1" fillId="0" borderId="4" xfId="0" applyFont="1" applyBorder="1"/>
    <xf numFmtId="3" fontId="20" fillId="0" borderId="4" xfId="0" applyNumberFormat="1" applyFont="1" applyBorder="1" applyAlignment="1">
      <alignment horizontal="center"/>
    </xf>
    <xf numFmtId="3" fontId="21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9" fontId="23" fillId="4" borderId="4" xfId="1" applyNumberFormat="1" applyFont="1" applyFill="1" applyBorder="1" applyAlignment="1">
      <alignment horizontal="left"/>
    </xf>
    <xf numFmtId="3" fontId="2" fillId="0" borderId="4" xfId="0" applyNumberFormat="1" applyFont="1" applyBorder="1" applyAlignment="1">
      <alignment horizontal="center"/>
    </xf>
    <xf numFmtId="0" fontId="1" fillId="0" borderId="0" xfId="0" applyFont="1"/>
    <xf numFmtId="0" fontId="24" fillId="0" borderId="0" xfId="0" applyFont="1" applyAlignment="1">
      <alignment horizontal="right"/>
    </xf>
    <xf numFmtId="0" fontId="1" fillId="0" borderId="9" xfId="0" applyFont="1" applyBorder="1"/>
    <xf numFmtId="0" fontId="1" fillId="0" borderId="0" xfId="0" applyFont="1" applyAlignment="1">
      <alignment horizontal="right"/>
    </xf>
    <xf numFmtId="0" fontId="0" fillId="0" borderId="9" xfId="0" applyBorder="1"/>
  </cellXfs>
  <cellStyles count="2">
    <cellStyle name="ปกติ" xfId="0" builtinId="0"/>
    <cellStyle name="ปกติ 2" xfId="1" xr:uid="{BB5B7E2A-B43D-4876-A159-E290F93C3F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38100</xdr:rowOff>
    </xdr:from>
    <xdr:to>
      <xdr:col>2</xdr:col>
      <xdr:colOff>409575</xdr:colOff>
      <xdr:row>2</xdr:row>
      <xdr:rowOff>276225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C88E6C-808C-4178-A701-49056A9B6C3D}"/>
            </a:ext>
          </a:extLst>
        </xdr:cNvPr>
        <xdr:cNvSpPr/>
      </xdr:nvSpPr>
      <xdr:spPr>
        <a:xfrm>
          <a:off x="2815590" y="769620"/>
          <a:ext cx="276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1781175</xdr:colOff>
      <xdr:row>2</xdr:row>
      <xdr:rowOff>38100</xdr:rowOff>
    </xdr:from>
    <xdr:to>
      <xdr:col>2</xdr:col>
      <xdr:colOff>2057400</xdr:colOff>
      <xdr:row>2</xdr:row>
      <xdr:rowOff>276225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421FEA-7956-4988-A1D1-47D17B715AE1}"/>
            </a:ext>
          </a:extLst>
        </xdr:cNvPr>
        <xdr:cNvSpPr/>
      </xdr:nvSpPr>
      <xdr:spPr>
        <a:xfrm>
          <a:off x="4463415" y="769620"/>
          <a:ext cx="276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133350</xdr:colOff>
      <xdr:row>2</xdr:row>
      <xdr:rowOff>38100</xdr:rowOff>
    </xdr:from>
    <xdr:to>
      <xdr:col>2</xdr:col>
      <xdr:colOff>409575</xdr:colOff>
      <xdr:row>2</xdr:row>
      <xdr:rowOff>276225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A2F2917-C180-4265-A222-CFADFB512D6D}"/>
            </a:ext>
          </a:extLst>
        </xdr:cNvPr>
        <xdr:cNvSpPr/>
      </xdr:nvSpPr>
      <xdr:spPr>
        <a:xfrm>
          <a:off x="2815590" y="769620"/>
          <a:ext cx="276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1781175</xdr:colOff>
      <xdr:row>2</xdr:row>
      <xdr:rowOff>38100</xdr:rowOff>
    </xdr:from>
    <xdr:to>
      <xdr:col>2</xdr:col>
      <xdr:colOff>2057400</xdr:colOff>
      <xdr:row>2</xdr:row>
      <xdr:rowOff>276225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B0CEFB4-C271-4FF0-A579-45471566B03E}"/>
            </a:ext>
          </a:extLst>
        </xdr:cNvPr>
        <xdr:cNvSpPr/>
      </xdr:nvSpPr>
      <xdr:spPr>
        <a:xfrm>
          <a:off x="4463415" y="769620"/>
          <a:ext cx="276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50;&#3611;&#3619;&#3648;&#3592;&#3588;&#3613;&#3638;&#3585;&#3591;&#3634;&#3609;/&#3651;&#3610;&#3626;&#3633;&#3656;&#3591;&#3626;&#3636;&#3609;&#3588;&#3657;&#3634;%2010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 (5)"/>
      <sheetName val="MR (4)"/>
      <sheetName val="WR(2)"/>
      <sheetName val="WR"/>
      <sheetName val="CY2 (3)"/>
      <sheetName val="CY3"/>
      <sheetName val="CY(2)"/>
      <sheetName val="CY"/>
      <sheetName val="Loe(2)"/>
      <sheetName val="Loey"/>
      <sheetName val="BR(2)"/>
      <sheetName val="BR"/>
      <sheetName val="KR1 (2)"/>
      <sheetName val="KR1"/>
      <sheetName val="KR(2)"/>
      <sheetName val="KR2"/>
      <sheetName val="KR3 (2)"/>
      <sheetName val="KR3"/>
      <sheetName val="KK(2)"/>
      <sheetName val="KK"/>
      <sheetName val="KK(BP)2"/>
      <sheetName val="KK(BP)"/>
      <sheetName val="SUR(3)"/>
      <sheetName val="SUR"/>
      <sheetName val="PC(2)"/>
      <sheetName val="PC"/>
      <sheetName val="MD(2)"/>
      <sheetName val="MD"/>
      <sheetName val="NPN(2)"/>
      <sheetName val="NPN"/>
      <sheetName val="PH2"/>
      <sheetName val="PH"/>
      <sheetName val="NPK2"/>
      <sheetName val="NPK"/>
      <sheetName val="NPK2 (2)"/>
      <sheetName val="NPK (2)"/>
      <sheetName val="HD2"/>
      <sheetName val="HD"/>
      <sheetName val="LP2"/>
      <sheetName val="LP"/>
      <sheetName val="MR2"/>
      <sheetName val="MR"/>
      <sheetName val="MR (3)"/>
      <sheetName val="MR (2)"/>
      <sheetName val="MT(2)"/>
      <sheetName val="MT"/>
      <sheetName val="MT2"/>
      <sheetName val="MT 2"/>
      <sheetName val="RIT(3)"/>
      <sheetName val="RIT"/>
      <sheetName val="RIT(2)"/>
      <sheetName val="RIT (2)"/>
      <sheetName val="NKP2"/>
      <sheetName val="NKP"/>
      <sheetName val="NKP2 (2)"/>
      <sheetName val="NKP2(2)"/>
      <sheetName val="NKP3 (3)"/>
      <sheetName val="NKP3"/>
      <sheetName val="PKS(2)"/>
      <sheetName val="PKS"/>
      <sheetName val="NKI(3)"/>
      <sheetName val="NKI"/>
      <sheetName val="PD(2)"/>
      <sheetName val="PD"/>
      <sheetName val="PD(3)"/>
      <sheetName val="PD (2)"/>
      <sheetName val="US(2)"/>
      <sheetName val="US"/>
      <sheetName val="PJ(2)"/>
      <sheetName val="PJ"/>
      <sheetName val="SK(2)"/>
      <sheetName val="SK"/>
      <sheetName val="SK(3)"/>
      <sheetName val="SK (2)"/>
      <sheetName val="WH(2)"/>
      <sheetName val="WH"/>
      <sheetName val="WH(3)"/>
      <sheetName val="WH (2)"/>
      <sheetName val="RS2"/>
      <sheetName val="RS"/>
      <sheetName val="RS(2)"/>
      <sheetName val="RS 2"/>
      <sheetName val="RKH(2)"/>
      <sheetName val="RKH"/>
      <sheetName val="JN(2)"/>
      <sheetName val="JN"/>
      <sheetName val="JR2"/>
      <sheetName val="JR"/>
      <sheetName val="BPL(2)"/>
      <sheetName val="BPL"/>
      <sheetName val="BPL(3)"/>
      <sheetName val="BPL2"/>
      <sheetName val="BPL(4)"/>
      <sheetName val="BPL3"/>
      <sheetName val="71(2)"/>
      <sheetName val="71"/>
      <sheetName val="71(3)"/>
      <sheetName val="71 (2)"/>
      <sheetName val="SKV77(2)"/>
      <sheetName val="SKV77"/>
      <sheetName val="77(2)"/>
      <sheetName val="77 2"/>
      <sheetName val="SKV22(2)"/>
      <sheetName val="SKV22"/>
      <sheetName val="SKV22(3)"/>
      <sheetName val="SKV22 (2)"/>
      <sheetName val="BD(2)"/>
      <sheetName val="BD"/>
      <sheetName val="BD(3)"/>
      <sheetName val="BD (2)"/>
      <sheetName val="PP(2)"/>
      <sheetName val="PP"/>
      <sheetName val="PNK(3)"/>
      <sheetName val="PNK2"/>
      <sheetName val="PNK(2)"/>
      <sheetName val="PNK"/>
      <sheetName val="CC(2)"/>
      <sheetName val="CC"/>
      <sheetName val="CC(3)"/>
      <sheetName val="CC (2)"/>
      <sheetName val="SNP(2)"/>
      <sheetName val="SNP"/>
      <sheetName val="NJ(2)"/>
      <sheetName val="NJ"/>
      <sheetName val="SS(2)"/>
      <sheetName val="SS"/>
      <sheetName val="NTJ(2)"/>
      <sheetName val="NTJ"/>
      <sheetName val="RM24(2)"/>
      <sheetName val="RM24"/>
      <sheetName val="NKI(4)"/>
      <sheetName val="NKI (2)"/>
      <sheetName val="PTN(2)"/>
      <sheetName val="PTN"/>
      <sheetName val="SAY(2)"/>
      <sheetName val="SAY"/>
      <sheetName val="SAY(3)"/>
      <sheetName val="SAY (2)"/>
      <sheetName val="RKH3"/>
      <sheetName val="RKH2"/>
      <sheetName val="PR(2)"/>
      <sheetName val="PR"/>
      <sheetName val="RN(2)"/>
      <sheetName val="RN"/>
      <sheetName val="CP(2)"/>
      <sheetName val="CP"/>
      <sheetName val="SR(2)"/>
      <sheetName val="SR"/>
      <sheetName val="WS(2)"/>
      <sheetName val="WS"/>
      <sheetName val="PNG(2)"/>
      <sheetName val="PNG"/>
      <sheetName val="SM(2)"/>
      <sheetName val="SM"/>
      <sheetName val="LM(2)"/>
      <sheetName val="LM"/>
      <sheetName val="LM(3)"/>
      <sheetName val="LM (2)"/>
      <sheetName val="TS(2)"/>
      <sheetName val="TS (2)"/>
      <sheetName val="TS 2"/>
      <sheetName val="TS"/>
      <sheetName val="PTL(2)"/>
      <sheetName val="PTL"/>
      <sheetName val="TL(2)"/>
      <sheetName val="TL"/>
      <sheetName val="TL(3)"/>
      <sheetName val="TL (2)"/>
      <sheetName val="HY(2)"/>
      <sheetName val="HY"/>
      <sheetName val="NK(2)"/>
      <sheetName val="NK"/>
      <sheetName val="TR(2)"/>
      <sheetName val="TR"/>
      <sheetName val="KB(2)"/>
      <sheetName val="KB"/>
      <sheetName val="AN(2)"/>
      <sheetName val="AN"/>
      <sheetName val="HPT(2)"/>
      <sheetName val="HPT"/>
      <sheetName val="PK(2)"/>
      <sheetName val="PK"/>
      <sheetName val="RW(2)"/>
      <sheetName val="RW"/>
      <sheetName val="RW(3)"/>
      <sheetName val="RW (2)"/>
      <sheetName val="KRN(2)"/>
      <sheetName val="KRN"/>
      <sheetName val="RN(3)"/>
      <sheetName val="RN2"/>
      <sheetName val="Summary"/>
      <sheetName val="PACK"/>
      <sheetName val="CY(P)"/>
      <sheetName val="BR(P) "/>
      <sheetName val="SUR(P)"/>
      <sheetName val="LO(P)  "/>
      <sheetName val="HD(P)"/>
      <sheetName val="MR(P)"/>
      <sheetName val="71(P)"/>
      <sheetName val="77(P)"/>
      <sheetName val="22(P)"/>
      <sheetName val="22(P) (2)"/>
      <sheetName val="77(P) (2)"/>
      <sheetName val="CC(P)  "/>
      <sheetName val="RS(P)"/>
      <sheetName val="PD(P)"/>
      <sheetName val="PP  (P)"/>
      <sheetName val="PJ(P) "/>
      <sheetName val="NKI(P)"/>
      <sheetName val="PNK(P)"/>
      <sheetName val="US(P)"/>
      <sheetName val="PR(P) "/>
      <sheetName val="AN(P)   "/>
      <sheetName val="CP(P) "/>
      <sheetName val="PNG(P)  "/>
      <sheetName val="PK(P) "/>
      <sheetName val="RN(P)"/>
      <sheetName val="SM(P)"/>
      <sheetName val="RW(P)  "/>
      <sheetName val="KB(P)"/>
      <sheetName val="NK  (P)"/>
      <sheetName val="TR(P) "/>
      <sheetName val="HPT(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">
          <cell r="C1" t="str">
            <v xml:space="preserve"> </v>
          </cell>
          <cell r="D1" t="str">
            <v>.</v>
          </cell>
        </row>
        <row r="3">
          <cell r="CA3" t="str">
            <v>REV.00</v>
          </cell>
          <cell r="CE3" t="str">
            <v xml:space="preserve"> </v>
          </cell>
        </row>
        <row r="4">
          <cell r="D4" t="str">
            <v xml:space="preserve">    </v>
          </cell>
        </row>
        <row r="6">
          <cell r="C6" t="str">
            <v>รายการสินค้า</v>
          </cell>
          <cell r="D6" t="str">
            <v>ขอนแก่น(บ้านไผ่)</v>
          </cell>
          <cell r="E6" t="str">
            <v>ขอนแก่น</v>
          </cell>
          <cell r="F6" t="str">
            <v>บุรีรัมย์</v>
          </cell>
          <cell r="G6" t="str">
            <v>ละไม</v>
          </cell>
          <cell r="H6" t="str">
            <v>เลย</v>
          </cell>
          <cell r="I6" t="str">
            <v>พัทลุง</v>
          </cell>
          <cell r="J6" t="str">
            <v>กระบี่</v>
          </cell>
          <cell r="K6" t="str">
            <v>ทุ่งสง</v>
          </cell>
          <cell r="L6" t="str">
            <v>ชัยภูมิ</v>
          </cell>
          <cell r="M6" t="str">
            <v>สุขุมวิท 71</v>
          </cell>
          <cell r="N6" t="str">
            <v>ชุมพร</v>
          </cell>
          <cell r="O6" t="str">
            <v>สุราษ</v>
          </cell>
          <cell r="P6" t="str">
            <v>พะงัน</v>
          </cell>
          <cell r="Q6" t="str">
            <v>อ่าวนาง</v>
          </cell>
          <cell r="R6" t="str">
            <v>นครศรี</v>
          </cell>
          <cell r="S6" t="str">
            <v>ราไวย์</v>
          </cell>
          <cell r="T6" t="str">
            <v>ภูเก็ต</v>
          </cell>
          <cell r="U6" t="str">
            <v>กะรน</v>
          </cell>
          <cell r="V6" t="str">
            <v>ตรัง</v>
          </cell>
          <cell r="W6" t="str">
            <v>สมุย(เฉวง)</v>
          </cell>
          <cell r="X6" t="str">
            <v>สุขุมวิท77</v>
          </cell>
          <cell r="Y6" t="str">
            <v>บดินทร</v>
          </cell>
          <cell r="Z6" t="str">
            <v>โคราช3</v>
          </cell>
          <cell r="AA6" t="str">
            <v>สมุทสาคร(2)</v>
          </cell>
          <cell r="AB6" t="str">
            <v>เวียงสระ</v>
          </cell>
          <cell r="AC6" t="str">
            <v>ปราณบุรี</v>
          </cell>
          <cell r="AD6" t="str">
            <v xml:space="preserve"> ถลาง</v>
          </cell>
          <cell r="AE6" t="str">
            <v>เมืองทอง(2)</v>
          </cell>
          <cell r="AF6" t="str">
            <v>สมุทสาคร</v>
          </cell>
          <cell r="AG6" t="str">
            <v>โคราช2</v>
          </cell>
          <cell r="AH6" t="str">
            <v>ระนอง</v>
          </cell>
          <cell r="AI6" t="str">
            <v>ปทุมธานี</v>
          </cell>
          <cell r="AJ6" t="str">
            <v>โคราช1</v>
          </cell>
          <cell r="AK6" t="str">
            <v>รามคำแหง24</v>
          </cell>
          <cell r="AL6" t="str">
            <v>สุขุมวิท22(2)</v>
          </cell>
          <cell r="AM6" t="str">
            <v>ราไวย์2</v>
          </cell>
          <cell r="AN6" t="str">
            <v>ประดิษฐ์</v>
          </cell>
          <cell r="AO6" t="str">
            <v>เพชรเกษม</v>
          </cell>
          <cell r="AP6" t="str">
            <v>อุดมสุข</v>
          </cell>
          <cell r="AQ6" t="str">
            <v>หาดใหญ่</v>
          </cell>
          <cell r="AR6" t="str">
            <v>สุขุมวิท22</v>
          </cell>
          <cell r="AS6" t="str">
            <v>ฝาง</v>
          </cell>
          <cell r="AT6" t="str">
            <v>หางดง</v>
          </cell>
          <cell r="AU6" t="str">
            <v>แม่ริม</v>
          </cell>
          <cell r="AV6" t="str">
            <v>สุขุมวิท77(2)</v>
          </cell>
          <cell r="AW6" t="str">
            <v>เมืองทอง</v>
          </cell>
          <cell r="AX6" t="str">
            <v>หาดป่าตอง</v>
          </cell>
          <cell r="AY6" t="str">
            <v>วังหิน(2)</v>
          </cell>
          <cell r="AZ6" t="str">
            <v>รังสิต</v>
          </cell>
          <cell r="BA6" t="str">
            <v>วังหิน</v>
          </cell>
          <cell r="BB6" t="str">
            <v>ประจวบฯ</v>
          </cell>
          <cell r="BC6" t="str">
            <v>ลำพูน</v>
          </cell>
          <cell r="BD6" t="str">
            <v>หนองป่าครั่ง</v>
          </cell>
          <cell r="BE6" t="str">
            <v>สุขุมวิท71(2)</v>
          </cell>
          <cell r="BF6" t="str">
            <v>นครอินทร์</v>
          </cell>
          <cell r="BG6" t="str">
            <v>รามอินทรา</v>
          </cell>
          <cell r="BH6" t="str">
            <v>ฉะเชิงเทรา</v>
          </cell>
          <cell r="BI6" t="str">
            <v>บางพลี</v>
          </cell>
          <cell r="BJ6" t="str">
            <v>ศรีอยุธยา</v>
          </cell>
          <cell r="BK6" t="str">
            <v>พงษ์เพชร</v>
          </cell>
          <cell r="BL6" t="str">
            <v>พัฒนาการ</v>
          </cell>
          <cell r="BM6" t="str">
            <v>บางพลี(2)</v>
          </cell>
          <cell r="BN6" t="str">
            <v>สัมมากร</v>
          </cell>
          <cell r="BO6" t="str">
            <v>จรัญสนิทวงศ์</v>
          </cell>
          <cell r="BP6" t="str">
            <v>ซิโนพาร์ค</v>
          </cell>
          <cell r="BQ6" t="str">
            <v>ปากช่อง</v>
          </cell>
          <cell r="BR6" t="str">
            <v>จรัญสนิทวงศ์(2)</v>
          </cell>
          <cell r="BS6" t="str">
            <v>ศรีอยุธยา(2)</v>
          </cell>
          <cell r="BT6" t="str">
            <v>นครปฐม</v>
          </cell>
          <cell r="BU6" t="str">
            <v>ฉะเชิงเทรา(2)</v>
          </cell>
          <cell r="BV6" t="str">
            <v>นครปฐม(2)</v>
          </cell>
          <cell r="BW6" t="str">
            <v>นครปฐม(3)</v>
          </cell>
          <cell r="BX6" t="str">
            <v>รังสิต(2)</v>
          </cell>
          <cell r="BY6" t="str">
            <v>รังสิต(2)</v>
          </cell>
          <cell r="BZ6" t="str">
            <v>ถลาง(2)</v>
          </cell>
          <cell r="CA6" t="str">
            <v>รวม</v>
          </cell>
          <cell r="CB6" t="str">
            <v>สต๊อก ส.</v>
          </cell>
          <cell r="CC6" t="str">
            <v>สั่งเพิ่ม</v>
          </cell>
          <cell r="CD6" t="str">
            <v>สั่งสต็อก</v>
          </cell>
        </row>
        <row r="7">
          <cell r="C7" t="str">
            <v>หน้ากากหมู</v>
          </cell>
          <cell r="D7">
            <v>0</v>
          </cell>
          <cell r="E7">
            <v>15</v>
          </cell>
          <cell r="H7">
            <v>0</v>
          </cell>
          <cell r="L7">
            <v>0</v>
          </cell>
          <cell r="M7">
            <v>0</v>
          </cell>
          <cell r="N7">
            <v>10</v>
          </cell>
          <cell r="P7">
            <v>30</v>
          </cell>
          <cell r="T7">
            <v>0</v>
          </cell>
          <cell r="U7">
            <v>0</v>
          </cell>
          <cell r="V7">
            <v>10</v>
          </cell>
          <cell r="W7">
            <v>20</v>
          </cell>
          <cell r="X7">
            <v>0</v>
          </cell>
          <cell r="Y7">
            <v>0</v>
          </cell>
          <cell r="AC7">
            <v>0</v>
          </cell>
          <cell r="AD7">
            <v>0</v>
          </cell>
          <cell r="AF7">
            <v>0</v>
          </cell>
          <cell r="AP7">
            <v>0</v>
          </cell>
          <cell r="AR7">
            <v>0</v>
          </cell>
          <cell r="AT7">
            <v>0</v>
          </cell>
          <cell r="AU7">
            <v>20</v>
          </cell>
          <cell r="AW7">
            <v>0</v>
          </cell>
          <cell r="AX7">
            <v>0</v>
          </cell>
          <cell r="AZ7">
            <v>0</v>
          </cell>
          <cell r="BC7">
            <v>0</v>
          </cell>
          <cell r="BD7">
            <v>0</v>
          </cell>
          <cell r="BI7">
            <v>0</v>
          </cell>
          <cell r="BK7">
            <v>0</v>
          </cell>
          <cell r="BO7">
            <v>0</v>
          </cell>
          <cell r="BT7">
            <v>0</v>
          </cell>
          <cell r="CA7">
            <v>105</v>
          </cell>
        </row>
        <row r="8">
          <cell r="C8" t="str">
            <v>สันในหมู</v>
          </cell>
          <cell r="D8">
            <v>0</v>
          </cell>
          <cell r="E8">
            <v>5</v>
          </cell>
          <cell r="H8">
            <v>0</v>
          </cell>
          <cell r="L8">
            <v>0</v>
          </cell>
          <cell r="M8">
            <v>10</v>
          </cell>
          <cell r="N8">
            <v>0</v>
          </cell>
          <cell r="P8">
            <v>25</v>
          </cell>
          <cell r="T8">
            <v>0</v>
          </cell>
          <cell r="U8">
            <v>0</v>
          </cell>
          <cell r="V8">
            <v>0</v>
          </cell>
          <cell r="W8">
            <v>20</v>
          </cell>
          <cell r="X8">
            <v>5</v>
          </cell>
          <cell r="Y8">
            <v>3</v>
          </cell>
          <cell r="AC8">
            <v>15</v>
          </cell>
          <cell r="AD8">
            <v>20</v>
          </cell>
          <cell r="AF8">
            <v>0</v>
          </cell>
          <cell r="AP8">
            <v>0</v>
          </cell>
          <cell r="AR8">
            <v>30</v>
          </cell>
          <cell r="AT8">
            <v>0</v>
          </cell>
          <cell r="AU8">
            <v>0</v>
          </cell>
          <cell r="AW8">
            <v>30</v>
          </cell>
          <cell r="AX8">
            <v>20</v>
          </cell>
          <cell r="AZ8">
            <v>0</v>
          </cell>
          <cell r="BC8">
            <v>0</v>
          </cell>
          <cell r="BD8">
            <v>0</v>
          </cell>
          <cell r="BI8">
            <v>0</v>
          </cell>
          <cell r="BK8">
            <v>15</v>
          </cell>
          <cell r="BO8">
            <v>0</v>
          </cell>
          <cell r="BT8">
            <v>0</v>
          </cell>
          <cell r="CA8">
            <v>198</v>
          </cell>
        </row>
        <row r="9">
          <cell r="C9" t="str">
            <v>สันนอกหมู</v>
          </cell>
          <cell r="D9">
            <v>0</v>
          </cell>
          <cell r="E9">
            <v>0</v>
          </cell>
          <cell r="H9">
            <v>120</v>
          </cell>
          <cell r="L9">
            <v>0</v>
          </cell>
          <cell r="M9">
            <v>200</v>
          </cell>
          <cell r="N9">
            <v>150</v>
          </cell>
          <cell r="P9">
            <v>100</v>
          </cell>
          <cell r="T9">
            <v>300</v>
          </cell>
          <cell r="U9">
            <v>100</v>
          </cell>
          <cell r="V9">
            <v>0</v>
          </cell>
          <cell r="W9">
            <v>250</v>
          </cell>
          <cell r="X9">
            <v>0</v>
          </cell>
          <cell r="Y9">
            <v>25</v>
          </cell>
          <cell r="AC9">
            <v>150</v>
          </cell>
          <cell r="AD9">
            <v>200</v>
          </cell>
          <cell r="AF9">
            <v>50</v>
          </cell>
          <cell r="AP9">
            <v>300</v>
          </cell>
          <cell r="AR9">
            <v>100</v>
          </cell>
          <cell r="AT9">
            <v>0</v>
          </cell>
          <cell r="AU9">
            <v>50</v>
          </cell>
          <cell r="AW9">
            <v>120</v>
          </cell>
          <cell r="AX9">
            <v>350</v>
          </cell>
          <cell r="AZ9">
            <v>0</v>
          </cell>
          <cell r="BC9">
            <v>50</v>
          </cell>
          <cell r="BD9">
            <v>0</v>
          </cell>
          <cell r="BI9">
            <v>0</v>
          </cell>
          <cell r="BK9">
            <v>150</v>
          </cell>
          <cell r="BO9">
            <v>0</v>
          </cell>
          <cell r="BT9">
            <v>0</v>
          </cell>
          <cell r="CA9">
            <v>2765</v>
          </cell>
        </row>
        <row r="10">
          <cell r="C10" t="str">
            <v>สะโพกหมู</v>
          </cell>
          <cell r="D10">
            <v>0</v>
          </cell>
          <cell r="E10">
            <v>300</v>
          </cell>
          <cell r="H10">
            <v>500</v>
          </cell>
          <cell r="L10">
            <v>0</v>
          </cell>
          <cell r="M10">
            <v>280</v>
          </cell>
          <cell r="N10">
            <v>200</v>
          </cell>
          <cell r="P10">
            <v>600</v>
          </cell>
          <cell r="T10">
            <v>0</v>
          </cell>
          <cell r="U10">
            <v>80</v>
          </cell>
          <cell r="V10">
            <v>0</v>
          </cell>
          <cell r="W10">
            <v>400</v>
          </cell>
          <cell r="X10">
            <v>600</v>
          </cell>
          <cell r="Y10">
            <v>85</v>
          </cell>
          <cell r="AC10">
            <v>200</v>
          </cell>
          <cell r="AD10">
            <v>50</v>
          </cell>
          <cell r="AF10">
            <v>100</v>
          </cell>
          <cell r="AP10">
            <v>100</v>
          </cell>
          <cell r="AR10">
            <v>100</v>
          </cell>
          <cell r="AT10">
            <v>200</v>
          </cell>
          <cell r="AU10">
            <v>300</v>
          </cell>
          <cell r="AW10">
            <v>160</v>
          </cell>
          <cell r="AX10">
            <v>350</v>
          </cell>
          <cell r="AZ10">
            <v>500</v>
          </cell>
          <cell r="BC10">
            <v>100</v>
          </cell>
          <cell r="BD10">
            <v>300</v>
          </cell>
          <cell r="BI10">
            <v>0</v>
          </cell>
          <cell r="BK10">
            <v>120</v>
          </cell>
          <cell r="BO10">
            <v>0</v>
          </cell>
          <cell r="BT10">
            <v>0</v>
          </cell>
          <cell r="CA10">
            <v>5625</v>
          </cell>
        </row>
        <row r="11">
          <cell r="C11" t="str">
            <v>หัวไหล่หมู</v>
          </cell>
          <cell r="D11">
            <v>0</v>
          </cell>
          <cell r="E11">
            <v>150</v>
          </cell>
          <cell r="H11">
            <v>0</v>
          </cell>
          <cell r="L11">
            <v>0</v>
          </cell>
          <cell r="M11">
            <v>120</v>
          </cell>
          <cell r="N11">
            <v>200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100</v>
          </cell>
          <cell r="Y11">
            <v>34</v>
          </cell>
          <cell r="AC11">
            <v>200</v>
          </cell>
          <cell r="AD11">
            <v>50</v>
          </cell>
          <cell r="AF11">
            <v>100</v>
          </cell>
          <cell r="AP11">
            <v>50</v>
          </cell>
          <cell r="AR11">
            <v>60</v>
          </cell>
          <cell r="AT11">
            <v>200</v>
          </cell>
          <cell r="AU11">
            <v>200</v>
          </cell>
          <cell r="AW11">
            <v>60</v>
          </cell>
          <cell r="AX11">
            <v>150</v>
          </cell>
          <cell r="AZ11">
            <v>0</v>
          </cell>
          <cell r="BC11">
            <v>100</v>
          </cell>
          <cell r="BD11">
            <v>0</v>
          </cell>
          <cell r="BI11">
            <v>0</v>
          </cell>
          <cell r="BK11">
            <v>100</v>
          </cell>
          <cell r="BO11">
            <v>0</v>
          </cell>
          <cell r="BT11">
            <v>0</v>
          </cell>
          <cell r="CA11">
            <v>1874</v>
          </cell>
        </row>
        <row r="12">
          <cell r="C12" t="str">
            <v>สันคอหมูบั้ง</v>
          </cell>
          <cell r="D12">
            <v>0</v>
          </cell>
          <cell r="E12">
            <v>0</v>
          </cell>
          <cell r="H12">
            <v>40</v>
          </cell>
          <cell r="L12">
            <v>0</v>
          </cell>
          <cell r="M12">
            <v>70</v>
          </cell>
          <cell r="N12">
            <v>0</v>
          </cell>
          <cell r="P12">
            <v>0</v>
          </cell>
          <cell r="T12">
            <v>102</v>
          </cell>
          <cell r="U12">
            <v>20</v>
          </cell>
          <cell r="V12">
            <v>0</v>
          </cell>
          <cell r="W12">
            <v>40</v>
          </cell>
          <cell r="X12">
            <v>30</v>
          </cell>
          <cell r="Y12">
            <v>11</v>
          </cell>
          <cell r="AC12">
            <v>10</v>
          </cell>
          <cell r="AD12">
            <v>50</v>
          </cell>
          <cell r="AF12">
            <v>30</v>
          </cell>
          <cell r="AP12">
            <v>0</v>
          </cell>
          <cell r="AR12">
            <v>40</v>
          </cell>
          <cell r="AT12">
            <v>0</v>
          </cell>
          <cell r="AU12">
            <v>0</v>
          </cell>
          <cell r="AW12">
            <v>50</v>
          </cell>
          <cell r="AX12">
            <v>20</v>
          </cell>
          <cell r="AZ12">
            <v>0</v>
          </cell>
          <cell r="BC12">
            <v>30</v>
          </cell>
          <cell r="BD12">
            <v>0</v>
          </cell>
          <cell r="BI12">
            <v>0</v>
          </cell>
          <cell r="BK12">
            <v>20</v>
          </cell>
          <cell r="BO12">
            <v>0</v>
          </cell>
          <cell r="BT12">
            <v>0</v>
          </cell>
          <cell r="CA12">
            <v>563</v>
          </cell>
        </row>
        <row r="13">
          <cell r="C13" t="str">
            <v>สามชั้นหมู</v>
          </cell>
          <cell r="D13">
            <v>0</v>
          </cell>
          <cell r="E13">
            <v>0</v>
          </cell>
          <cell r="H13">
            <v>60</v>
          </cell>
          <cell r="L13">
            <v>0</v>
          </cell>
          <cell r="M13">
            <v>0</v>
          </cell>
          <cell r="N13">
            <v>20</v>
          </cell>
          <cell r="P13">
            <v>100</v>
          </cell>
          <cell r="T13">
            <v>0</v>
          </cell>
          <cell r="U13">
            <v>80</v>
          </cell>
          <cell r="V13">
            <v>0</v>
          </cell>
          <cell r="W13">
            <v>180</v>
          </cell>
          <cell r="X13">
            <v>70</v>
          </cell>
          <cell r="Y13">
            <v>3</v>
          </cell>
          <cell r="AC13">
            <v>30</v>
          </cell>
          <cell r="AD13">
            <v>300</v>
          </cell>
          <cell r="AF13">
            <v>0</v>
          </cell>
          <cell r="AP13">
            <v>0</v>
          </cell>
          <cell r="AR13">
            <v>80</v>
          </cell>
          <cell r="AT13">
            <v>0</v>
          </cell>
          <cell r="AU13">
            <v>0</v>
          </cell>
          <cell r="AW13">
            <v>60</v>
          </cell>
          <cell r="AX13">
            <v>100</v>
          </cell>
          <cell r="AZ13">
            <v>0</v>
          </cell>
          <cell r="BC13">
            <v>0</v>
          </cell>
          <cell r="BD13">
            <v>0</v>
          </cell>
          <cell r="BI13">
            <v>0</v>
          </cell>
          <cell r="BK13">
            <v>90</v>
          </cell>
          <cell r="BO13">
            <v>0</v>
          </cell>
          <cell r="BT13">
            <v>0</v>
          </cell>
          <cell r="CA13">
            <v>1173</v>
          </cell>
          <cell r="CN13" t="str">
            <v xml:space="preserve"> </v>
          </cell>
        </row>
        <row r="14">
          <cell r="C14" t="str">
            <v>ขาหน้าหมูเผา</v>
          </cell>
          <cell r="D14">
            <v>20</v>
          </cell>
          <cell r="E14">
            <v>100</v>
          </cell>
          <cell r="H14">
            <v>0</v>
          </cell>
          <cell r="L14">
            <v>0</v>
          </cell>
          <cell r="M14">
            <v>10</v>
          </cell>
          <cell r="N14">
            <v>20</v>
          </cell>
          <cell r="P14">
            <v>50</v>
          </cell>
          <cell r="T14">
            <v>0</v>
          </cell>
          <cell r="U14">
            <v>0</v>
          </cell>
          <cell r="V14">
            <v>50</v>
          </cell>
          <cell r="W14">
            <v>50</v>
          </cell>
          <cell r="X14">
            <v>10</v>
          </cell>
          <cell r="Y14">
            <v>0</v>
          </cell>
          <cell r="AC14">
            <v>150</v>
          </cell>
          <cell r="AD14">
            <v>0</v>
          </cell>
          <cell r="AF14">
            <v>0</v>
          </cell>
          <cell r="AP14">
            <v>0</v>
          </cell>
          <cell r="AR14">
            <v>20</v>
          </cell>
          <cell r="AT14">
            <v>0</v>
          </cell>
          <cell r="AU14">
            <v>20</v>
          </cell>
          <cell r="AW14">
            <v>0</v>
          </cell>
          <cell r="AX14">
            <v>80</v>
          </cell>
          <cell r="AZ14">
            <v>10</v>
          </cell>
          <cell r="BC14">
            <v>0</v>
          </cell>
          <cell r="BD14">
            <v>0</v>
          </cell>
          <cell r="BI14">
            <v>0</v>
          </cell>
          <cell r="BK14">
            <v>20</v>
          </cell>
          <cell r="BO14">
            <v>0</v>
          </cell>
          <cell r="BT14">
            <v>0</v>
          </cell>
          <cell r="CA14">
            <v>610</v>
          </cell>
        </row>
        <row r="15">
          <cell r="C15" t="str">
            <v>ขาหลังหมูเผา</v>
          </cell>
          <cell r="D15">
            <v>240</v>
          </cell>
          <cell r="E15">
            <v>100</v>
          </cell>
          <cell r="H15">
            <v>450</v>
          </cell>
          <cell r="L15">
            <v>0</v>
          </cell>
          <cell r="M15">
            <v>70</v>
          </cell>
          <cell r="N15">
            <v>50</v>
          </cell>
          <cell r="P15">
            <v>80</v>
          </cell>
          <cell r="T15">
            <v>0</v>
          </cell>
          <cell r="U15">
            <v>0</v>
          </cell>
          <cell r="V15">
            <v>50</v>
          </cell>
          <cell r="W15">
            <v>100</v>
          </cell>
          <cell r="X15">
            <v>0</v>
          </cell>
          <cell r="Y15">
            <v>0</v>
          </cell>
          <cell r="AC15">
            <v>100</v>
          </cell>
          <cell r="AD15">
            <v>50</v>
          </cell>
          <cell r="AF15">
            <v>50</v>
          </cell>
          <cell r="AP15">
            <v>0</v>
          </cell>
          <cell r="AR15">
            <v>60</v>
          </cell>
          <cell r="AT15">
            <v>0</v>
          </cell>
          <cell r="AU15">
            <v>20</v>
          </cell>
          <cell r="AW15">
            <v>60</v>
          </cell>
          <cell r="AX15">
            <v>80</v>
          </cell>
          <cell r="AZ15">
            <v>0</v>
          </cell>
          <cell r="BC15">
            <v>50</v>
          </cell>
          <cell r="BD15">
            <v>0</v>
          </cell>
          <cell r="BI15">
            <v>0</v>
          </cell>
          <cell r="BK15">
            <v>20</v>
          </cell>
          <cell r="BO15">
            <v>200</v>
          </cell>
          <cell r="BT15">
            <v>0</v>
          </cell>
          <cell r="CA15">
            <v>1830</v>
          </cell>
        </row>
        <row r="16">
          <cell r="C16" t="str">
            <v>มันหมู</v>
          </cell>
          <cell r="D16">
            <v>0</v>
          </cell>
          <cell r="E16">
            <v>0</v>
          </cell>
          <cell r="H16">
            <v>0</v>
          </cell>
          <cell r="L16">
            <v>0</v>
          </cell>
          <cell r="M16">
            <v>50</v>
          </cell>
          <cell r="N16">
            <v>10</v>
          </cell>
          <cell r="P16">
            <v>25</v>
          </cell>
          <cell r="T16">
            <v>0</v>
          </cell>
          <cell r="U16">
            <v>5</v>
          </cell>
          <cell r="V16">
            <v>30</v>
          </cell>
          <cell r="W16">
            <v>0</v>
          </cell>
          <cell r="X16">
            <v>150</v>
          </cell>
          <cell r="Y16">
            <v>0</v>
          </cell>
          <cell r="AC16">
            <v>15</v>
          </cell>
          <cell r="AD16">
            <v>20</v>
          </cell>
          <cell r="AF16">
            <v>0</v>
          </cell>
          <cell r="AP16">
            <v>0</v>
          </cell>
          <cell r="AR16">
            <v>30</v>
          </cell>
          <cell r="AT16">
            <v>0</v>
          </cell>
          <cell r="AU16">
            <v>0</v>
          </cell>
          <cell r="AW16">
            <v>50</v>
          </cell>
          <cell r="AX16">
            <v>0</v>
          </cell>
          <cell r="AZ16">
            <v>0</v>
          </cell>
          <cell r="BC16">
            <v>0</v>
          </cell>
          <cell r="BD16">
            <v>0</v>
          </cell>
          <cell r="BI16">
            <v>0</v>
          </cell>
          <cell r="BK16">
            <v>35</v>
          </cell>
          <cell r="BO16">
            <v>0</v>
          </cell>
          <cell r="BT16">
            <v>0</v>
          </cell>
          <cell r="CA16">
            <v>420</v>
          </cell>
          <cell r="CI16" t="str">
            <v xml:space="preserve">        </v>
          </cell>
        </row>
        <row r="17">
          <cell r="C17" t="str">
            <v>หัวใจหมู</v>
          </cell>
          <cell r="D17">
            <v>0</v>
          </cell>
          <cell r="E17">
            <v>5</v>
          </cell>
          <cell r="H17">
            <v>10</v>
          </cell>
          <cell r="L17">
            <v>0</v>
          </cell>
          <cell r="M17">
            <v>0</v>
          </cell>
          <cell r="N17">
            <v>0</v>
          </cell>
          <cell r="P17">
            <v>15</v>
          </cell>
          <cell r="T17">
            <v>5</v>
          </cell>
          <cell r="U17">
            <v>5</v>
          </cell>
          <cell r="V17">
            <v>0</v>
          </cell>
          <cell r="W17">
            <v>5</v>
          </cell>
          <cell r="X17">
            <v>5</v>
          </cell>
          <cell r="Y17">
            <v>0</v>
          </cell>
          <cell r="AC17">
            <v>0</v>
          </cell>
          <cell r="AD17">
            <v>5</v>
          </cell>
          <cell r="AF17">
            <v>0</v>
          </cell>
          <cell r="AP17">
            <v>0</v>
          </cell>
          <cell r="AR17">
            <v>5</v>
          </cell>
          <cell r="AT17">
            <v>0</v>
          </cell>
          <cell r="AU17">
            <v>0</v>
          </cell>
          <cell r="AW17">
            <v>2</v>
          </cell>
          <cell r="AX17">
            <v>10</v>
          </cell>
          <cell r="AZ17">
            <v>0</v>
          </cell>
          <cell r="BC17">
            <v>0</v>
          </cell>
          <cell r="BD17">
            <v>0</v>
          </cell>
          <cell r="BI17">
            <v>0</v>
          </cell>
          <cell r="BK17">
            <v>0</v>
          </cell>
          <cell r="BO17">
            <v>0</v>
          </cell>
          <cell r="BT17">
            <v>0</v>
          </cell>
          <cell r="CA17">
            <v>72</v>
          </cell>
        </row>
        <row r="18">
          <cell r="C18" t="str">
            <v>ตับหมู</v>
          </cell>
          <cell r="D18">
            <v>0</v>
          </cell>
          <cell r="E18">
            <v>15</v>
          </cell>
          <cell r="H18">
            <v>60</v>
          </cell>
          <cell r="L18">
            <v>0</v>
          </cell>
          <cell r="M18">
            <v>15</v>
          </cell>
          <cell r="N18">
            <v>10</v>
          </cell>
          <cell r="P18">
            <v>40</v>
          </cell>
          <cell r="T18">
            <v>0</v>
          </cell>
          <cell r="U18">
            <v>10</v>
          </cell>
          <cell r="V18">
            <v>30</v>
          </cell>
          <cell r="W18">
            <v>20</v>
          </cell>
          <cell r="X18">
            <v>40</v>
          </cell>
          <cell r="Y18">
            <v>2</v>
          </cell>
          <cell r="AC18">
            <v>10</v>
          </cell>
          <cell r="AD18">
            <v>20</v>
          </cell>
          <cell r="AF18">
            <v>0</v>
          </cell>
          <cell r="AP18">
            <v>0</v>
          </cell>
          <cell r="AR18">
            <v>10</v>
          </cell>
          <cell r="AT18">
            <v>0</v>
          </cell>
          <cell r="AU18">
            <v>10</v>
          </cell>
          <cell r="AW18">
            <v>30</v>
          </cell>
          <cell r="AX18">
            <v>20</v>
          </cell>
          <cell r="AZ18">
            <v>0</v>
          </cell>
          <cell r="BC18">
            <v>0</v>
          </cell>
          <cell r="BD18">
            <v>20</v>
          </cell>
          <cell r="BI18">
            <v>0</v>
          </cell>
          <cell r="BK18">
            <v>35</v>
          </cell>
          <cell r="BO18">
            <v>0</v>
          </cell>
          <cell r="BT18">
            <v>0</v>
          </cell>
          <cell r="CA18">
            <v>397</v>
          </cell>
        </row>
        <row r="19">
          <cell r="C19" t="str">
            <v>กระเพาะหมู</v>
          </cell>
          <cell r="D19">
            <v>0</v>
          </cell>
          <cell r="E19">
            <v>5</v>
          </cell>
          <cell r="H19">
            <v>10</v>
          </cell>
          <cell r="L19">
            <v>0</v>
          </cell>
          <cell r="M19">
            <v>0</v>
          </cell>
          <cell r="N19">
            <v>0</v>
          </cell>
          <cell r="P19">
            <v>15</v>
          </cell>
          <cell r="T19">
            <v>5</v>
          </cell>
          <cell r="U19">
            <v>0</v>
          </cell>
          <cell r="V19">
            <v>10</v>
          </cell>
          <cell r="W19">
            <v>10</v>
          </cell>
          <cell r="X19">
            <v>0</v>
          </cell>
          <cell r="Y19">
            <v>0</v>
          </cell>
          <cell r="AC19">
            <v>0</v>
          </cell>
          <cell r="AD19">
            <v>0</v>
          </cell>
          <cell r="AF19">
            <v>0</v>
          </cell>
          <cell r="AP19">
            <v>0</v>
          </cell>
          <cell r="AR19">
            <v>0</v>
          </cell>
          <cell r="AT19">
            <v>0</v>
          </cell>
          <cell r="AU19">
            <v>0</v>
          </cell>
          <cell r="AW19">
            <v>2</v>
          </cell>
          <cell r="AX19">
            <v>10</v>
          </cell>
          <cell r="AZ19">
            <v>0</v>
          </cell>
          <cell r="BC19">
            <v>0</v>
          </cell>
          <cell r="BD19">
            <v>0</v>
          </cell>
          <cell r="BI19">
            <v>0</v>
          </cell>
          <cell r="BK19">
            <v>0</v>
          </cell>
          <cell r="BO19">
            <v>0</v>
          </cell>
          <cell r="BT19">
            <v>0</v>
          </cell>
          <cell r="CA19">
            <v>67</v>
          </cell>
          <cell r="CJ19" t="str">
            <v xml:space="preserve">     </v>
          </cell>
          <cell r="CO19" t="str">
            <v xml:space="preserve">     </v>
          </cell>
        </row>
        <row r="20">
          <cell r="C20" t="str">
            <v>เซ่งจี้หมู (ไตหมู)</v>
          </cell>
          <cell r="D20">
            <v>0</v>
          </cell>
          <cell r="E20">
            <v>5</v>
          </cell>
          <cell r="H20">
            <v>20</v>
          </cell>
          <cell r="L20">
            <v>0</v>
          </cell>
          <cell r="M20">
            <v>0</v>
          </cell>
          <cell r="N20">
            <v>0</v>
          </cell>
          <cell r="P20">
            <v>10</v>
          </cell>
          <cell r="T20">
            <v>0</v>
          </cell>
          <cell r="U20">
            <v>5</v>
          </cell>
          <cell r="V20">
            <v>0</v>
          </cell>
          <cell r="W20">
            <v>5</v>
          </cell>
          <cell r="X20">
            <v>5</v>
          </cell>
          <cell r="Y20">
            <v>5</v>
          </cell>
          <cell r="AC20">
            <v>0</v>
          </cell>
          <cell r="AD20">
            <v>0</v>
          </cell>
          <cell r="AF20">
            <v>0</v>
          </cell>
          <cell r="AP20">
            <v>0</v>
          </cell>
          <cell r="AR20">
            <v>0</v>
          </cell>
          <cell r="AT20">
            <v>0</v>
          </cell>
          <cell r="AU20">
            <v>0</v>
          </cell>
          <cell r="AW20">
            <v>2</v>
          </cell>
          <cell r="AX20">
            <v>10</v>
          </cell>
          <cell r="AZ20">
            <v>0</v>
          </cell>
          <cell r="BC20">
            <v>0</v>
          </cell>
          <cell r="BD20">
            <v>0</v>
          </cell>
          <cell r="BI20">
            <v>0</v>
          </cell>
          <cell r="BK20">
            <v>5</v>
          </cell>
          <cell r="BO20">
            <v>0</v>
          </cell>
          <cell r="BT20">
            <v>0</v>
          </cell>
          <cell r="CA20">
            <v>72</v>
          </cell>
        </row>
        <row r="21">
          <cell r="C21" t="str">
            <v>ไส้อ่อนหมู</v>
          </cell>
          <cell r="D21">
            <v>0</v>
          </cell>
          <cell r="E21">
            <v>0</v>
          </cell>
          <cell r="H21">
            <v>0</v>
          </cell>
          <cell r="L21">
            <v>0</v>
          </cell>
          <cell r="M21">
            <v>10</v>
          </cell>
          <cell r="N21">
            <v>0</v>
          </cell>
          <cell r="P21">
            <v>40</v>
          </cell>
          <cell r="T21">
            <v>50</v>
          </cell>
          <cell r="U21">
            <v>0</v>
          </cell>
          <cell r="V21">
            <v>10</v>
          </cell>
          <cell r="W21">
            <v>20</v>
          </cell>
          <cell r="X21">
            <v>20</v>
          </cell>
          <cell r="Y21">
            <v>3</v>
          </cell>
          <cell r="AC21">
            <v>30</v>
          </cell>
          <cell r="AD21">
            <v>50</v>
          </cell>
          <cell r="AF21">
            <v>0</v>
          </cell>
          <cell r="AP21">
            <v>0</v>
          </cell>
          <cell r="AR21">
            <v>0</v>
          </cell>
          <cell r="AT21">
            <v>15</v>
          </cell>
          <cell r="AU21">
            <v>10</v>
          </cell>
          <cell r="AW21">
            <v>5</v>
          </cell>
          <cell r="AX21">
            <v>20</v>
          </cell>
          <cell r="AZ21">
            <v>0</v>
          </cell>
          <cell r="BC21">
            <v>0</v>
          </cell>
          <cell r="BD21">
            <v>20</v>
          </cell>
          <cell r="BI21">
            <v>0</v>
          </cell>
          <cell r="BK21">
            <v>10</v>
          </cell>
          <cell r="BO21">
            <v>0</v>
          </cell>
          <cell r="BT21">
            <v>0</v>
          </cell>
          <cell r="CA21">
            <v>313</v>
          </cell>
        </row>
        <row r="22">
          <cell r="C22" t="str">
            <v>ไส้ใหญ่หมู</v>
          </cell>
          <cell r="D22">
            <v>0</v>
          </cell>
          <cell r="E22">
            <v>15</v>
          </cell>
          <cell r="H22">
            <v>20</v>
          </cell>
          <cell r="L22">
            <v>0</v>
          </cell>
          <cell r="M22">
            <v>5</v>
          </cell>
          <cell r="N22">
            <v>10</v>
          </cell>
          <cell r="P22">
            <v>35</v>
          </cell>
          <cell r="T22">
            <v>20</v>
          </cell>
          <cell r="U22">
            <v>10</v>
          </cell>
          <cell r="V22">
            <v>0</v>
          </cell>
          <cell r="W22">
            <v>40</v>
          </cell>
          <cell r="X22">
            <v>10</v>
          </cell>
          <cell r="Y22">
            <v>0</v>
          </cell>
          <cell r="AC22">
            <v>10</v>
          </cell>
          <cell r="AD22">
            <v>5</v>
          </cell>
          <cell r="AF22">
            <v>10</v>
          </cell>
          <cell r="AP22">
            <v>0</v>
          </cell>
          <cell r="AR22">
            <v>3</v>
          </cell>
          <cell r="AT22">
            <v>15</v>
          </cell>
          <cell r="AU22">
            <v>0</v>
          </cell>
          <cell r="AW22">
            <v>5</v>
          </cell>
          <cell r="AX22">
            <v>20</v>
          </cell>
          <cell r="AZ22">
            <v>0</v>
          </cell>
          <cell r="BC22">
            <v>10</v>
          </cell>
          <cell r="BD22">
            <v>0</v>
          </cell>
          <cell r="BI22">
            <v>0</v>
          </cell>
          <cell r="BK22">
            <v>10</v>
          </cell>
          <cell r="BO22">
            <v>0</v>
          </cell>
          <cell r="BT22">
            <v>0</v>
          </cell>
          <cell r="CA22">
            <v>253</v>
          </cell>
        </row>
        <row r="23">
          <cell r="C23" t="str">
            <v>ไส้ตันหมูเล็ก</v>
          </cell>
          <cell r="D23">
            <v>0</v>
          </cell>
          <cell r="E23">
            <v>10</v>
          </cell>
          <cell r="H23">
            <v>0</v>
          </cell>
          <cell r="L23">
            <v>0</v>
          </cell>
          <cell r="M23">
            <v>0</v>
          </cell>
          <cell r="N23">
            <v>0</v>
          </cell>
          <cell r="P23">
            <v>20</v>
          </cell>
          <cell r="T23">
            <v>0</v>
          </cell>
          <cell r="U23">
            <v>5</v>
          </cell>
          <cell r="V23">
            <v>5</v>
          </cell>
          <cell r="W23">
            <v>20</v>
          </cell>
          <cell r="X23">
            <v>5</v>
          </cell>
          <cell r="Y23">
            <v>0</v>
          </cell>
          <cell r="AC23">
            <v>0</v>
          </cell>
          <cell r="AD23">
            <v>20</v>
          </cell>
          <cell r="AF23">
            <v>0</v>
          </cell>
          <cell r="AP23">
            <v>0</v>
          </cell>
          <cell r="AR23">
            <v>3</v>
          </cell>
          <cell r="AT23">
            <v>5</v>
          </cell>
          <cell r="AU23">
            <v>5</v>
          </cell>
          <cell r="AW23">
            <v>5</v>
          </cell>
          <cell r="AX23">
            <v>10</v>
          </cell>
          <cell r="AZ23">
            <v>0</v>
          </cell>
          <cell r="BC23">
            <v>0</v>
          </cell>
          <cell r="BD23">
            <v>0</v>
          </cell>
          <cell r="BI23">
            <v>0</v>
          </cell>
          <cell r="BK23">
            <v>0</v>
          </cell>
          <cell r="BO23">
            <v>0</v>
          </cell>
          <cell r="BT23">
            <v>0</v>
          </cell>
          <cell r="CA23">
            <v>113</v>
          </cell>
        </row>
        <row r="24">
          <cell r="C24" t="str">
            <v>กระดูกซุปหมู</v>
          </cell>
          <cell r="D24">
            <v>10</v>
          </cell>
          <cell r="E24">
            <v>0</v>
          </cell>
          <cell r="H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T24">
            <v>180</v>
          </cell>
          <cell r="U24">
            <v>0</v>
          </cell>
          <cell r="V24">
            <v>0</v>
          </cell>
          <cell r="W24">
            <v>0</v>
          </cell>
          <cell r="X24">
            <v>5</v>
          </cell>
          <cell r="Y24">
            <v>20</v>
          </cell>
          <cell r="AC24">
            <v>0</v>
          </cell>
          <cell r="AD24">
            <v>60</v>
          </cell>
          <cell r="AF24">
            <v>0</v>
          </cell>
          <cell r="AP24">
            <v>0</v>
          </cell>
          <cell r="AR24">
            <v>0</v>
          </cell>
          <cell r="AT24">
            <v>0</v>
          </cell>
          <cell r="AU24">
            <v>0</v>
          </cell>
          <cell r="AW24">
            <v>0</v>
          </cell>
          <cell r="AX24">
            <v>0</v>
          </cell>
          <cell r="AZ24">
            <v>40</v>
          </cell>
          <cell r="BC24">
            <v>0</v>
          </cell>
          <cell r="BD24">
            <v>0</v>
          </cell>
          <cell r="BI24">
            <v>0</v>
          </cell>
          <cell r="BK24">
            <v>0</v>
          </cell>
          <cell r="BO24">
            <v>0</v>
          </cell>
          <cell r="BT24">
            <v>0</v>
          </cell>
          <cell r="CA24">
            <v>315</v>
          </cell>
        </row>
        <row r="25">
          <cell r="C25" t="str">
            <v>กระดูกข้อขาหมู</v>
          </cell>
          <cell r="D25">
            <v>5</v>
          </cell>
          <cell r="E25">
            <v>0</v>
          </cell>
          <cell r="H25">
            <v>40</v>
          </cell>
          <cell r="L25">
            <v>0</v>
          </cell>
          <cell r="M25">
            <v>20</v>
          </cell>
          <cell r="N25">
            <v>20</v>
          </cell>
          <cell r="P25">
            <v>25</v>
          </cell>
          <cell r="T25">
            <v>0</v>
          </cell>
          <cell r="U25">
            <v>0</v>
          </cell>
          <cell r="V25">
            <v>0</v>
          </cell>
          <cell r="W25">
            <v>20</v>
          </cell>
          <cell r="X25">
            <v>40</v>
          </cell>
          <cell r="Y25">
            <v>0</v>
          </cell>
          <cell r="AC25">
            <v>15</v>
          </cell>
          <cell r="AD25">
            <v>80</v>
          </cell>
          <cell r="AF25">
            <v>0</v>
          </cell>
          <cell r="AP25">
            <v>0</v>
          </cell>
          <cell r="AR25">
            <v>0</v>
          </cell>
          <cell r="AT25">
            <v>0</v>
          </cell>
          <cell r="AU25">
            <v>50</v>
          </cell>
          <cell r="AW25">
            <v>30</v>
          </cell>
          <cell r="AX25">
            <v>70</v>
          </cell>
          <cell r="AZ25">
            <v>0</v>
          </cell>
          <cell r="BC25">
            <v>0</v>
          </cell>
          <cell r="BD25">
            <v>50</v>
          </cell>
          <cell r="BI25">
            <v>40</v>
          </cell>
          <cell r="BK25">
            <v>0</v>
          </cell>
          <cell r="BO25">
            <v>0</v>
          </cell>
          <cell r="BT25">
            <v>0</v>
          </cell>
          <cell r="CA25">
            <v>505</v>
          </cell>
        </row>
        <row r="26">
          <cell r="C26" t="str">
            <v>หางหมูเผา</v>
          </cell>
          <cell r="D26">
            <v>0</v>
          </cell>
          <cell r="E26">
            <v>0</v>
          </cell>
          <cell r="H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AC26">
            <v>0</v>
          </cell>
          <cell r="AD26">
            <v>5</v>
          </cell>
          <cell r="AF26">
            <v>0</v>
          </cell>
          <cell r="AP26">
            <v>0</v>
          </cell>
          <cell r="AR26">
            <v>0</v>
          </cell>
          <cell r="AT26">
            <v>0</v>
          </cell>
          <cell r="AU26">
            <v>0</v>
          </cell>
          <cell r="AW26">
            <v>0</v>
          </cell>
          <cell r="AX26">
            <v>0</v>
          </cell>
          <cell r="AZ26">
            <v>0</v>
          </cell>
          <cell r="BC26">
            <v>0</v>
          </cell>
          <cell r="BD26">
            <v>0</v>
          </cell>
          <cell r="BI26">
            <v>0</v>
          </cell>
          <cell r="BK26">
            <v>0</v>
          </cell>
          <cell r="BO26">
            <v>0</v>
          </cell>
          <cell r="BT26">
            <v>0</v>
          </cell>
          <cell r="CA26">
            <v>10</v>
          </cell>
        </row>
        <row r="27">
          <cell r="C27" t="str">
            <v>ม้ามหมู</v>
          </cell>
          <cell r="D27">
            <v>0</v>
          </cell>
          <cell r="E27">
            <v>0</v>
          </cell>
          <cell r="H27">
            <v>0</v>
          </cell>
          <cell r="L27">
            <v>0</v>
          </cell>
          <cell r="M27">
            <v>0</v>
          </cell>
          <cell r="N27">
            <v>0</v>
          </cell>
          <cell r="P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C27">
            <v>0</v>
          </cell>
          <cell r="AD27">
            <v>0</v>
          </cell>
          <cell r="AF27">
            <v>0</v>
          </cell>
          <cell r="AP27">
            <v>0</v>
          </cell>
          <cell r="AR27">
            <v>0</v>
          </cell>
          <cell r="AT27">
            <v>0</v>
          </cell>
          <cell r="AU27">
            <v>0</v>
          </cell>
          <cell r="AW27">
            <v>0</v>
          </cell>
          <cell r="AX27">
            <v>0</v>
          </cell>
          <cell r="AZ27">
            <v>0</v>
          </cell>
          <cell r="BC27">
            <v>0</v>
          </cell>
          <cell r="BD27">
            <v>0</v>
          </cell>
          <cell r="BI27">
            <v>0</v>
          </cell>
          <cell r="BK27">
            <v>0</v>
          </cell>
          <cell r="BO27">
            <v>0</v>
          </cell>
          <cell r="BT27">
            <v>0</v>
          </cell>
          <cell r="CA27">
            <v>0</v>
          </cell>
        </row>
        <row r="28">
          <cell r="C28" t="str">
            <v>คอหมูย่าง</v>
          </cell>
          <cell r="D28">
            <v>5</v>
          </cell>
          <cell r="E28">
            <v>0</v>
          </cell>
          <cell r="H28">
            <v>0</v>
          </cell>
          <cell r="L28">
            <v>0</v>
          </cell>
          <cell r="M28">
            <v>40</v>
          </cell>
          <cell r="N28">
            <v>5</v>
          </cell>
          <cell r="P28">
            <v>50</v>
          </cell>
          <cell r="T28">
            <v>46</v>
          </cell>
          <cell r="U28">
            <v>10</v>
          </cell>
          <cell r="V28">
            <v>0</v>
          </cell>
          <cell r="W28">
            <v>10</v>
          </cell>
          <cell r="X28">
            <v>50</v>
          </cell>
          <cell r="Y28">
            <v>5</v>
          </cell>
          <cell r="AC28">
            <v>10</v>
          </cell>
          <cell r="AD28">
            <v>20</v>
          </cell>
          <cell r="AF28">
            <v>0</v>
          </cell>
          <cell r="AP28">
            <v>50</v>
          </cell>
          <cell r="AR28">
            <v>20</v>
          </cell>
          <cell r="AT28">
            <v>0</v>
          </cell>
          <cell r="AU28">
            <v>0</v>
          </cell>
          <cell r="AW28">
            <v>50</v>
          </cell>
          <cell r="AX28">
            <v>30</v>
          </cell>
          <cell r="AZ28">
            <v>0</v>
          </cell>
          <cell r="BC28">
            <v>0</v>
          </cell>
          <cell r="BD28">
            <v>0</v>
          </cell>
          <cell r="BI28">
            <v>20</v>
          </cell>
          <cell r="BK28">
            <v>40</v>
          </cell>
          <cell r="BO28">
            <v>20</v>
          </cell>
          <cell r="BT28">
            <v>30</v>
          </cell>
          <cell r="CA28">
            <v>511</v>
          </cell>
        </row>
        <row r="29">
          <cell r="C29" t="str">
            <v>สะโพกหมูติดหนัง</v>
          </cell>
          <cell r="D29">
            <v>0</v>
          </cell>
          <cell r="E29">
            <v>0</v>
          </cell>
          <cell r="H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T29">
            <v>0</v>
          </cell>
          <cell r="U29">
            <v>5</v>
          </cell>
          <cell r="V29">
            <v>0</v>
          </cell>
          <cell r="W29">
            <v>10</v>
          </cell>
          <cell r="X29">
            <v>0</v>
          </cell>
          <cell r="Y29">
            <v>0</v>
          </cell>
          <cell r="AC29">
            <v>0</v>
          </cell>
          <cell r="AD29">
            <v>0</v>
          </cell>
          <cell r="AF29">
            <v>0</v>
          </cell>
          <cell r="AP29">
            <v>0</v>
          </cell>
          <cell r="AR29">
            <v>0</v>
          </cell>
          <cell r="AT29">
            <v>0</v>
          </cell>
          <cell r="AU29">
            <v>0</v>
          </cell>
          <cell r="AW29">
            <v>0</v>
          </cell>
          <cell r="AX29">
            <v>0</v>
          </cell>
          <cell r="AZ29">
            <v>0</v>
          </cell>
          <cell r="BC29">
            <v>0</v>
          </cell>
          <cell r="BD29">
            <v>0</v>
          </cell>
          <cell r="BI29">
            <v>0</v>
          </cell>
          <cell r="BK29">
            <v>0</v>
          </cell>
          <cell r="BO29">
            <v>0</v>
          </cell>
          <cell r="BT29">
            <v>0</v>
          </cell>
          <cell r="CA29">
            <v>15</v>
          </cell>
        </row>
        <row r="30">
          <cell r="C30" t="str">
            <v>แก้มหมู</v>
          </cell>
          <cell r="D30">
            <v>0</v>
          </cell>
          <cell r="E30">
            <v>0</v>
          </cell>
          <cell r="H30">
            <v>40</v>
          </cell>
          <cell r="L30">
            <v>0</v>
          </cell>
          <cell r="M30">
            <v>0</v>
          </cell>
          <cell r="N30">
            <v>15</v>
          </cell>
          <cell r="P30">
            <v>10</v>
          </cell>
          <cell r="T30">
            <v>0</v>
          </cell>
          <cell r="U30">
            <v>10</v>
          </cell>
          <cell r="V30">
            <v>10</v>
          </cell>
          <cell r="W30">
            <v>0</v>
          </cell>
          <cell r="X30">
            <v>0</v>
          </cell>
          <cell r="Y30">
            <v>0</v>
          </cell>
          <cell r="AC30">
            <v>0</v>
          </cell>
          <cell r="AD30">
            <v>80</v>
          </cell>
          <cell r="AF30">
            <v>0</v>
          </cell>
          <cell r="AP30">
            <v>0</v>
          </cell>
          <cell r="AR30">
            <v>0</v>
          </cell>
          <cell r="AT30">
            <v>0</v>
          </cell>
          <cell r="AU30">
            <v>0</v>
          </cell>
          <cell r="AW30">
            <v>0</v>
          </cell>
          <cell r="AX30">
            <v>10</v>
          </cell>
          <cell r="AZ30">
            <v>0</v>
          </cell>
          <cell r="BC30">
            <v>0</v>
          </cell>
          <cell r="BD30">
            <v>0</v>
          </cell>
          <cell r="BI30">
            <v>0</v>
          </cell>
          <cell r="BK30">
            <v>0</v>
          </cell>
          <cell r="BO30">
            <v>0</v>
          </cell>
          <cell r="BT30">
            <v>0</v>
          </cell>
          <cell r="CA30">
            <v>175</v>
          </cell>
        </row>
        <row r="31">
          <cell r="C31" t="str">
            <v>หมูบดเกรด B (เศษเนื้อหมู)</v>
          </cell>
          <cell r="D31">
            <v>0</v>
          </cell>
          <cell r="E31">
            <v>0</v>
          </cell>
          <cell r="H31">
            <v>20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C31">
            <v>0</v>
          </cell>
          <cell r="AD31">
            <v>0</v>
          </cell>
          <cell r="AF31">
            <v>0</v>
          </cell>
          <cell r="AP31">
            <v>0</v>
          </cell>
          <cell r="AR31">
            <v>0</v>
          </cell>
          <cell r="AT31">
            <v>0</v>
          </cell>
          <cell r="AU31">
            <v>0</v>
          </cell>
          <cell r="AW31">
            <v>0</v>
          </cell>
          <cell r="AX31">
            <v>0</v>
          </cell>
          <cell r="AZ31">
            <v>0</v>
          </cell>
          <cell r="BC31">
            <v>0</v>
          </cell>
          <cell r="BD31">
            <v>0</v>
          </cell>
          <cell r="BI31">
            <v>0</v>
          </cell>
          <cell r="BK31">
            <v>0</v>
          </cell>
          <cell r="BO31">
            <v>0</v>
          </cell>
          <cell r="BT31">
            <v>0</v>
          </cell>
          <cell r="CA31">
            <v>20</v>
          </cell>
        </row>
        <row r="32">
          <cell r="C32" t="str">
            <v>กระดูกอ่อนใบพาย</v>
          </cell>
          <cell r="D32">
            <v>0</v>
          </cell>
          <cell r="E32">
            <v>5</v>
          </cell>
          <cell r="H32">
            <v>20</v>
          </cell>
          <cell r="L32">
            <v>0</v>
          </cell>
          <cell r="M32">
            <v>5</v>
          </cell>
          <cell r="N32">
            <v>15</v>
          </cell>
          <cell r="P32">
            <v>5</v>
          </cell>
          <cell r="T32">
            <v>30</v>
          </cell>
          <cell r="U32">
            <v>0</v>
          </cell>
          <cell r="V32">
            <v>0</v>
          </cell>
          <cell r="W32">
            <v>0</v>
          </cell>
          <cell r="X32">
            <v>5</v>
          </cell>
          <cell r="Y32">
            <v>0</v>
          </cell>
          <cell r="AC32">
            <v>5</v>
          </cell>
          <cell r="AD32">
            <v>5</v>
          </cell>
          <cell r="AF32">
            <v>5</v>
          </cell>
          <cell r="AP32">
            <v>0</v>
          </cell>
          <cell r="AR32">
            <v>0</v>
          </cell>
          <cell r="AT32">
            <v>5</v>
          </cell>
          <cell r="AU32">
            <v>0</v>
          </cell>
          <cell r="AW32">
            <v>5</v>
          </cell>
          <cell r="AX32">
            <v>20</v>
          </cell>
          <cell r="AZ32">
            <v>0</v>
          </cell>
          <cell r="BC32">
            <v>5</v>
          </cell>
          <cell r="BD32">
            <v>0</v>
          </cell>
          <cell r="BI32">
            <v>0</v>
          </cell>
          <cell r="BK32">
            <v>0</v>
          </cell>
          <cell r="BO32">
            <v>0</v>
          </cell>
          <cell r="BT32">
            <v>0</v>
          </cell>
          <cell r="CA32">
            <v>135</v>
          </cell>
        </row>
        <row r="33">
          <cell r="C33" t="str">
            <v>หมูบดผสมมัน 10%</v>
          </cell>
          <cell r="D33">
            <v>40</v>
          </cell>
          <cell r="E33">
            <v>0</v>
          </cell>
          <cell r="H33">
            <v>0</v>
          </cell>
          <cell r="L33">
            <v>0</v>
          </cell>
          <cell r="M33">
            <v>280</v>
          </cell>
          <cell r="N33">
            <v>200</v>
          </cell>
          <cell r="P33">
            <v>300</v>
          </cell>
          <cell r="T33">
            <v>0</v>
          </cell>
          <cell r="U33">
            <v>140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C33">
            <v>100</v>
          </cell>
          <cell r="AD33">
            <v>0</v>
          </cell>
          <cell r="AF33">
            <v>100</v>
          </cell>
          <cell r="AP33">
            <v>0</v>
          </cell>
          <cell r="AR33">
            <v>120</v>
          </cell>
          <cell r="AT33">
            <v>50</v>
          </cell>
          <cell r="AU33">
            <v>0</v>
          </cell>
          <cell r="AW33">
            <v>220</v>
          </cell>
          <cell r="AX33">
            <v>250</v>
          </cell>
          <cell r="AZ33">
            <v>200</v>
          </cell>
          <cell r="BC33">
            <v>100</v>
          </cell>
          <cell r="BD33">
            <v>0</v>
          </cell>
          <cell r="BI33">
            <v>0</v>
          </cell>
          <cell r="BK33">
            <v>270</v>
          </cell>
          <cell r="BO33">
            <v>140</v>
          </cell>
          <cell r="BT33">
            <v>150</v>
          </cell>
          <cell r="CA33">
            <v>2660</v>
          </cell>
        </row>
        <row r="34">
          <cell r="C34" t="str">
            <v>ซี่โครงหมูแผ่น</v>
          </cell>
          <cell r="D34">
            <v>0</v>
          </cell>
          <cell r="E34">
            <v>0</v>
          </cell>
          <cell r="H34">
            <v>10</v>
          </cell>
          <cell r="L34">
            <v>0</v>
          </cell>
          <cell r="M34">
            <v>70</v>
          </cell>
          <cell r="N34">
            <v>0</v>
          </cell>
          <cell r="P34">
            <v>200</v>
          </cell>
          <cell r="T34">
            <v>100</v>
          </cell>
          <cell r="U34">
            <v>70</v>
          </cell>
          <cell r="V34">
            <v>0</v>
          </cell>
          <cell r="W34">
            <v>0</v>
          </cell>
          <cell r="X34">
            <v>70</v>
          </cell>
          <cell r="Y34">
            <v>0</v>
          </cell>
          <cell r="AC34">
            <v>30</v>
          </cell>
          <cell r="AD34">
            <v>30</v>
          </cell>
          <cell r="AF34">
            <v>0</v>
          </cell>
          <cell r="AP34">
            <v>0</v>
          </cell>
          <cell r="AR34">
            <v>40</v>
          </cell>
          <cell r="AT34">
            <v>0</v>
          </cell>
          <cell r="AU34">
            <v>50</v>
          </cell>
          <cell r="AW34">
            <v>5</v>
          </cell>
          <cell r="AX34">
            <v>0</v>
          </cell>
          <cell r="AZ34">
            <v>20</v>
          </cell>
          <cell r="BC34">
            <v>0</v>
          </cell>
          <cell r="BD34">
            <v>0</v>
          </cell>
          <cell r="BI34">
            <v>0</v>
          </cell>
          <cell r="BK34">
            <v>0</v>
          </cell>
          <cell r="BO34">
            <v>0</v>
          </cell>
          <cell r="BT34">
            <v>0</v>
          </cell>
          <cell r="CA34">
            <v>695</v>
          </cell>
        </row>
        <row r="35">
          <cell r="C35" t="str">
            <v>ไส้น้อย (ไส้ขม)</v>
          </cell>
          <cell r="D35">
            <v>0</v>
          </cell>
          <cell r="E35">
            <v>0</v>
          </cell>
          <cell r="H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>
            <v>0</v>
          </cell>
          <cell r="AD35">
            <v>0</v>
          </cell>
          <cell r="AF35">
            <v>0</v>
          </cell>
          <cell r="AP35">
            <v>0</v>
          </cell>
          <cell r="AR35">
            <v>0</v>
          </cell>
          <cell r="AT35">
            <v>0</v>
          </cell>
          <cell r="AU35">
            <v>0</v>
          </cell>
          <cell r="AW35">
            <v>0</v>
          </cell>
          <cell r="AX35">
            <v>0</v>
          </cell>
          <cell r="AZ35">
            <v>0</v>
          </cell>
          <cell r="BC35">
            <v>0</v>
          </cell>
          <cell r="BD35">
            <v>0</v>
          </cell>
          <cell r="BI35">
            <v>0</v>
          </cell>
          <cell r="BK35">
            <v>0</v>
          </cell>
          <cell r="BO35">
            <v>0</v>
          </cell>
          <cell r="BT35">
            <v>0</v>
          </cell>
          <cell r="CA35">
            <v>0</v>
          </cell>
        </row>
        <row r="36">
          <cell r="C36" t="str">
            <v>กระเพาะหมูลวก</v>
          </cell>
          <cell r="D36">
            <v>0</v>
          </cell>
          <cell r="E36">
            <v>0</v>
          </cell>
          <cell r="H36">
            <v>0</v>
          </cell>
          <cell r="L36">
            <v>0</v>
          </cell>
          <cell r="M36">
            <v>20</v>
          </cell>
          <cell r="N36">
            <v>0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</v>
          </cell>
          <cell r="Y36">
            <v>0</v>
          </cell>
          <cell r="AC36">
            <v>5</v>
          </cell>
          <cell r="AD36">
            <v>5</v>
          </cell>
          <cell r="AF36">
            <v>10</v>
          </cell>
          <cell r="AP36">
            <v>0</v>
          </cell>
          <cell r="AR36">
            <v>5</v>
          </cell>
          <cell r="AT36">
            <v>5</v>
          </cell>
          <cell r="AU36">
            <v>0</v>
          </cell>
          <cell r="AW36">
            <v>5</v>
          </cell>
          <cell r="AX36">
            <v>0</v>
          </cell>
          <cell r="AZ36">
            <v>0</v>
          </cell>
          <cell r="BC36">
            <v>10</v>
          </cell>
          <cell r="BD36">
            <v>0</v>
          </cell>
          <cell r="BI36">
            <v>0</v>
          </cell>
          <cell r="BK36">
            <v>5</v>
          </cell>
          <cell r="BO36">
            <v>0</v>
          </cell>
          <cell r="BT36">
            <v>0</v>
          </cell>
          <cell r="CA36">
            <v>75</v>
          </cell>
        </row>
        <row r="37">
          <cell r="C37" t="str">
            <v>ปอดหมู</v>
          </cell>
          <cell r="D37">
            <v>0</v>
          </cell>
          <cell r="E37">
            <v>10</v>
          </cell>
          <cell r="H37">
            <v>20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T37">
            <v>0</v>
          </cell>
          <cell r="U37">
            <v>0</v>
          </cell>
          <cell r="V37">
            <v>5</v>
          </cell>
          <cell r="W37">
            <v>5</v>
          </cell>
          <cell r="X37">
            <v>0</v>
          </cell>
          <cell r="Y37">
            <v>0</v>
          </cell>
          <cell r="AC37">
            <v>3</v>
          </cell>
          <cell r="AD37">
            <v>0</v>
          </cell>
          <cell r="AF37">
            <v>0</v>
          </cell>
          <cell r="AP37">
            <v>0</v>
          </cell>
          <cell r="AR37">
            <v>0</v>
          </cell>
          <cell r="AT37">
            <v>0</v>
          </cell>
          <cell r="AU37">
            <v>0</v>
          </cell>
          <cell r="AW37">
            <v>0</v>
          </cell>
          <cell r="AX37">
            <v>0</v>
          </cell>
          <cell r="AZ37">
            <v>0</v>
          </cell>
          <cell r="BC37">
            <v>0</v>
          </cell>
          <cell r="BD37">
            <v>0</v>
          </cell>
          <cell r="BI37">
            <v>0</v>
          </cell>
          <cell r="BK37">
            <v>0</v>
          </cell>
          <cell r="BO37">
            <v>0</v>
          </cell>
          <cell r="BT37">
            <v>0</v>
          </cell>
          <cell r="CA37">
            <v>43</v>
          </cell>
        </row>
        <row r="38">
          <cell r="C38" t="str">
            <v>สามชั้นสดสไลด์ (supทำ)</v>
          </cell>
          <cell r="D38">
            <v>0</v>
          </cell>
          <cell r="E38">
            <v>0</v>
          </cell>
          <cell r="H38">
            <v>0</v>
          </cell>
          <cell r="L38">
            <v>0</v>
          </cell>
          <cell r="M38">
            <v>0</v>
          </cell>
          <cell r="N38">
            <v>50</v>
          </cell>
          <cell r="P38">
            <v>40</v>
          </cell>
          <cell r="T38">
            <v>0</v>
          </cell>
          <cell r="U38">
            <v>15</v>
          </cell>
          <cell r="V38">
            <v>0</v>
          </cell>
          <cell r="W38">
            <v>20</v>
          </cell>
          <cell r="X38">
            <v>20</v>
          </cell>
          <cell r="Y38">
            <v>0</v>
          </cell>
          <cell r="AC38">
            <v>10</v>
          </cell>
          <cell r="AD38">
            <v>5</v>
          </cell>
          <cell r="AF38">
            <v>40</v>
          </cell>
          <cell r="AP38">
            <v>0</v>
          </cell>
          <cell r="AR38">
            <v>20</v>
          </cell>
          <cell r="AT38">
            <v>0</v>
          </cell>
          <cell r="AU38">
            <v>0</v>
          </cell>
          <cell r="AW38">
            <v>20</v>
          </cell>
          <cell r="AX38">
            <v>40</v>
          </cell>
          <cell r="AZ38">
            <v>0</v>
          </cell>
          <cell r="BC38">
            <v>40</v>
          </cell>
          <cell r="BD38">
            <v>0</v>
          </cell>
          <cell r="BI38">
            <v>0</v>
          </cell>
          <cell r="BK38">
            <v>20</v>
          </cell>
          <cell r="BO38">
            <v>0</v>
          </cell>
          <cell r="BT38">
            <v>0</v>
          </cell>
          <cell r="CA38">
            <v>340</v>
          </cell>
        </row>
        <row r="39">
          <cell r="C39" t="str">
            <v>สะโพกหมูสไลด์ (supทำ)</v>
          </cell>
          <cell r="D39">
            <v>0</v>
          </cell>
          <cell r="E39">
            <v>0</v>
          </cell>
          <cell r="H39">
            <v>150</v>
          </cell>
          <cell r="L39">
            <v>0</v>
          </cell>
          <cell r="M39">
            <v>40</v>
          </cell>
          <cell r="N39">
            <v>40</v>
          </cell>
          <cell r="P39">
            <v>0</v>
          </cell>
          <cell r="T39">
            <v>0</v>
          </cell>
          <cell r="U39">
            <v>0</v>
          </cell>
          <cell r="V39">
            <v>0</v>
          </cell>
          <cell r="W39">
            <v>40</v>
          </cell>
          <cell r="X39">
            <v>0</v>
          </cell>
          <cell r="Y39">
            <v>5</v>
          </cell>
          <cell r="AC39">
            <v>0</v>
          </cell>
          <cell r="AD39">
            <v>5</v>
          </cell>
          <cell r="AF39">
            <v>30</v>
          </cell>
          <cell r="AP39">
            <v>0</v>
          </cell>
          <cell r="AR39">
            <v>0</v>
          </cell>
          <cell r="AT39">
            <v>0</v>
          </cell>
          <cell r="AU39">
            <v>0</v>
          </cell>
          <cell r="AW39">
            <v>60</v>
          </cell>
          <cell r="AX39">
            <v>30</v>
          </cell>
          <cell r="AZ39">
            <v>0</v>
          </cell>
          <cell r="BC39">
            <v>30</v>
          </cell>
          <cell r="BD39">
            <v>0</v>
          </cell>
          <cell r="BI39">
            <v>0</v>
          </cell>
          <cell r="BK39">
            <v>0</v>
          </cell>
          <cell r="BO39">
            <v>0</v>
          </cell>
          <cell r="BT39">
            <v>0</v>
          </cell>
          <cell r="CA39">
            <v>430</v>
          </cell>
        </row>
        <row r="40">
          <cell r="C40" t="str">
            <v>ลิ้นหมูสด</v>
          </cell>
          <cell r="D40">
            <v>0</v>
          </cell>
          <cell r="E40">
            <v>0</v>
          </cell>
          <cell r="H40">
            <v>0</v>
          </cell>
          <cell r="L40">
            <v>0</v>
          </cell>
          <cell r="M40">
            <v>0</v>
          </cell>
          <cell r="N40">
            <v>0</v>
          </cell>
          <cell r="P40">
            <v>20</v>
          </cell>
          <cell r="T40">
            <v>0</v>
          </cell>
          <cell r="U40">
            <v>5</v>
          </cell>
          <cell r="V40">
            <v>0</v>
          </cell>
          <cell r="W40">
            <v>5</v>
          </cell>
          <cell r="X40">
            <v>5</v>
          </cell>
          <cell r="Y40">
            <v>0</v>
          </cell>
          <cell r="AC40">
            <v>0</v>
          </cell>
          <cell r="AD40">
            <v>5</v>
          </cell>
          <cell r="AF40">
            <v>0</v>
          </cell>
          <cell r="AP40">
            <v>0</v>
          </cell>
          <cell r="AR40">
            <v>5</v>
          </cell>
          <cell r="AT40">
            <v>0</v>
          </cell>
          <cell r="AU40">
            <v>5</v>
          </cell>
          <cell r="AW40">
            <v>0</v>
          </cell>
          <cell r="AX40">
            <v>10</v>
          </cell>
          <cell r="AZ40">
            <v>0</v>
          </cell>
          <cell r="BC40">
            <v>0</v>
          </cell>
          <cell r="BD40">
            <v>0</v>
          </cell>
          <cell r="BI40">
            <v>0</v>
          </cell>
          <cell r="BK40">
            <v>5</v>
          </cell>
          <cell r="BO40">
            <v>0</v>
          </cell>
          <cell r="BT40">
            <v>0</v>
          </cell>
          <cell r="CA40">
            <v>65</v>
          </cell>
        </row>
        <row r="41">
          <cell r="C41" t="str">
            <v>หนังหมูสด</v>
          </cell>
          <cell r="D41">
            <v>0</v>
          </cell>
          <cell r="E41">
            <v>10</v>
          </cell>
          <cell r="H41">
            <v>0</v>
          </cell>
          <cell r="L41">
            <v>0</v>
          </cell>
          <cell r="M41">
            <v>5</v>
          </cell>
          <cell r="N41">
            <v>20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10</v>
          </cell>
          <cell r="X41">
            <v>100</v>
          </cell>
          <cell r="Y41">
            <v>0</v>
          </cell>
          <cell r="AC41">
            <v>10</v>
          </cell>
          <cell r="AD41">
            <v>10</v>
          </cell>
          <cell r="AF41">
            <v>0</v>
          </cell>
          <cell r="AP41">
            <v>0</v>
          </cell>
          <cell r="AR41">
            <v>0</v>
          </cell>
          <cell r="AT41">
            <v>0</v>
          </cell>
          <cell r="AU41">
            <v>0</v>
          </cell>
          <cell r="AW41">
            <v>0</v>
          </cell>
          <cell r="AX41">
            <v>25</v>
          </cell>
          <cell r="AZ41">
            <v>0</v>
          </cell>
          <cell r="BC41">
            <v>0</v>
          </cell>
          <cell r="BD41">
            <v>0</v>
          </cell>
          <cell r="BI41">
            <v>0</v>
          </cell>
          <cell r="BK41">
            <v>10</v>
          </cell>
          <cell r="BO41">
            <v>0</v>
          </cell>
          <cell r="BT41">
            <v>0</v>
          </cell>
          <cell r="CA41">
            <v>200</v>
          </cell>
        </row>
        <row r="42">
          <cell r="C42" t="str">
            <v>ขั้วตับหมู</v>
          </cell>
          <cell r="D42">
            <v>0</v>
          </cell>
          <cell r="E42">
            <v>0</v>
          </cell>
          <cell r="H42">
            <v>0</v>
          </cell>
          <cell r="L42">
            <v>0</v>
          </cell>
          <cell r="M42">
            <v>5</v>
          </cell>
          <cell r="N42">
            <v>10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10</v>
          </cell>
          <cell r="X42">
            <v>5</v>
          </cell>
          <cell r="Y42">
            <v>0</v>
          </cell>
          <cell r="AC42">
            <v>5</v>
          </cell>
          <cell r="AD42">
            <v>0</v>
          </cell>
          <cell r="AF42">
            <v>0</v>
          </cell>
          <cell r="AP42">
            <v>0</v>
          </cell>
          <cell r="AR42">
            <v>5</v>
          </cell>
          <cell r="AT42">
            <v>0</v>
          </cell>
          <cell r="AU42">
            <v>0</v>
          </cell>
          <cell r="AW42">
            <v>5</v>
          </cell>
          <cell r="AX42">
            <v>0</v>
          </cell>
          <cell r="AZ42">
            <v>0</v>
          </cell>
          <cell r="BC42">
            <v>0</v>
          </cell>
          <cell r="BD42">
            <v>0</v>
          </cell>
          <cell r="BI42">
            <v>0</v>
          </cell>
          <cell r="BK42">
            <v>5</v>
          </cell>
          <cell r="BO42">
            <v>0</v>
          </cell>
          <cell r="BT42">
            <v>0</v>
          </cell>
          <cell r="CA42">
            <v>50</v>
          </cell>
        </row>
        <row r="43">
          <cell r="C43" t="str">
            <v>หัวไหล่หมูติดหนัง</v>
          </cell>
          <cell r="D43">
            <v>0</v>
          </cell>
          <cell r="E43">
            <v>0</v>
          </cell>
          <cell r="H43">
            <v>30</v>
          </cell>
          <cell r="L43">
            <v>0</v>
          </cell>
          <cell r="M43">
            <v>0</v>
          </cell>
          <cell r="N43">
            <v>0</v>
          </cell>
          <cell r="P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C43">
            <v>0</v>
          </cell>
          <cell r="AD43">
            <v>0</v>
          </cell>
          <cell r="AF43">
            <v>0</v>
          </cell>
          <cell r="AP43">
            <v>0</v>
          </cell>
          <cell r="AR43">
            <v>0</v>
          </cell>
          <cell r="AT43">
            <v>0</v>
          </cell>
          <cell r="AU43">
            <v>0</v>
          </cell>
          <cell r="AW43">
            <v>0</v>
          </cell>
          <cell r="AX43">
            <v>0</v>
          </cell>
          <cell r="AZ43">
            <v>0</v>
          </cell>
          <cell r="BC43">
            <v>0</v>
          </cell>
          <cell r="BD43">
            <v>0</v>
          </cell>
          <cell r="BI43">
            <v>0</v>
          </cell>
          <cell r="BK43">
            <v>0</v>
          </cell>
          <cell r="BO43">
            <v>0</v>
          </cell>
          <cell r="BT43">
            <v>0</v>
          </cell>
          <cell r="CA43">
            <v>30</v>
          </cell>
        </row>
        <row r="44">
          <cell r="C44" t="str">
            <v>สันคอสไลด์(supทำ)</v>
          </cell>
          <cell r="D44">
            <v>0</v>
          </cell>
          <cell r="E44">
            <v>0</v>
          </cell>
          <cell r="H44">
            <v>0</v>
          </cell>
          <cell r="L44">
            <v>0</v>
          </cell>
          <cell r="M44">
            <v>0</v>
          </cell>
          <cell r="N44">
            <v>20</v>
          </cell>
          <cell r="P44">
            <v>10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20</v>
          </cell>
          <cell r="Y44">
            <v>0</v>
          </cell>
          <cell r="AC44">
            <v>10</v>
          </cell>
          <cell r="AD44">
            <v>10</v>
          </cell>
          <cell r="AF44">
            <v>5</v>
          </cell>
          <cell r="AP44">
            <v>0</v>
          </cell>
          <cell r="AR44">
            <v>15</v>
          </cell>
          <cell r="AT44">
            <v>0</v>
          </cell>
          <cell r="AU44">
            <v>0</v>
          </cell>
          <cell r="AW44">
            <v>20</v>
          </cell>
          <cell r="AX44">
            <v>10</v>
          </cell>
          <cell r="AZ44">
            <v>0</v>
          </cell>
          <cell r="BC44">
            <v>5</v>
          </cell>
          <cell r="BD44">
            <v>0</v>
          </cell>
          <cell r="BI44">
            <v>0</v>
          </cell>
          <cell r="BK44">
            <v>15</v>
          </cell>
          <cell r="BO44">
            <v>0</v>
          </cell>
          <cell r="BT44">
            <v>0</v>
          </cell>
          <cell r="CA44">
            <v>140</v>
          </cell>
        </row>
        <row r="45">
          <cell r="C45" t="str">
            <v>สันนอกหมูสไลด์ (supทำ)</v>
          </cell>
          <cell r="D45">
            <v>0</v>
          </cell>
          <cell r="E45">
            <v>0</v>
          </cell>
          <cell r="H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C45">
            <v>15</v>
          </cell>
          <cell r="AD45">
            <v>5</v>
          </cell>
          <cell r="AF45">
            <v>10</v>
          </cell>
          <cell r="AP45">
            <v>0</v>
          </cell>
          <cell r="AR45">
            <v>0</v>
          </cell>
          <cell r="AT45">
            <v>0</v>
          </cell>
          <cell r="AU45">
            <v>0</v>
          </cell>
          <cell r="AW45">
            <v>0</v>
          </cell>
          <cell r="AX45">
            <v>0</v>
          </cell>
          <cell r="AZ45">
            <v>0</v>
          </cell>
          <cell r="BC45">
            <v>10</v>
          </cell>
          <cell r="BD45">
            <v>15</v>
          </cell>
          <cell r="BI45">
            <v>0</v>
          </cell>
          <cell r="BK45">
            <v>15</v>
          </cell>
          <cell r="BO45">
            <v>0</v>
          </cell>
          <cell r="BT45">
            <v>0</v>
          </cell>
          <cell r="CA45">
            <v>70</v>
          </cell>
        </row>
        <row r="46">
          <cell r="C46" t="str">
            <v>หน้ากากหมูต้ม</v>
          </cell>
          <cell r="D46">
            <v>0</v>
          </cell>
          <cell r="E46">
            <v>10</v>
          </cell>
          <cell r="H46">
            <v>5</v>
          </cell>
          <cell r="L46">
            <v>0</v>
          </cell>
          <cell r="M46">
            <v>0</v>
          </cell>
          <cell r="N46">
            <v>0</v>
          </cell>
          <cell r="P46">
            <v>15</v>
          </cell>
          <cell r="T46">
            <v>0</v>
          </cell>
          <cell r="U46">
            <v>10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C46">
            <v>0</v>
          </cell>
          <cell r="AD46">
            <v>0</v>
          </cell>
          <cell r="AF46">
            <v>0</v>
          </cell>
          <cell r="AP46">
            <v>0</v>
          </cell>
          <cell r="AR46">
            <v>0</v>
          </cell>
          <cell r="AT46">
            <v>0</v>
          </cell>
          <cell r="AU46">
            <v>0</v>
          </cell>
          <cell r="AW46">
            <v>0</v>
          </cell>
          <cell r="AX46">
            <v>5</v>
          </cell>
          <cell r="AZ46">
            <v>0</v>
          </cell>
          <cell r="BC46">
            <v>0</v>
          </cell>
          <cell r="BD46">
            <v>0</v>
          </cell>
          <cell r="BI46">
            <v>0</v>
          </cell>
          <cell r="BK46">
            <v>0</v>
          </cell>
          <cell r="BO46">
            <v>0</v>
          </cell>
          <cell r="BT46">
            <v>0</v>
          </cell>
          <cell r="CA46">
            <v>45</v>
          </cell>
        </row>
        <row r="47">
          <cell r="C47" t="str">
            <v>สามชั้นหมูตัดเส้น(supทำ)</v>
          </cell>
          <cell r="D47">
            <v>0</v>
          </cell>
          <cell r="E47">
            <v>0</v>
          </cell>
          <cell r="H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>
            <v>0</v>
          </cell>
          <cell r="AD47">
            <v>0</v>
          </cell>
          <cell r="AF47">
            <v>0</v>
          </cell>
          <cell r="AP47">
            <v>0</v>
          </cell>
          <cell r="AR47">
            <v>0</v>
          </cell>
          <cell r="AT47">
            <v>0</v>
          </cell>
          <cell r="AU47">
            <v>0</v>
          </cell>
          <cell r="AW47">
            <v>0</v>
          </cell>
          <cell r="AX47">
            <v>400</v>
          </cell>
          <cell r="AZ47">
            <v>0</v>
          </cell>
          <cell r="BC47">
            <v>0</v>
          </cell>
          <cell r="BD47">
            <v>0</v>
          </cell>
          <cell r="BI47">
            <v>0</v>
          </cell>
          <cell r="BK47">
            <v>0</v>
          </cell>
          <cell r="BO47">
            <v>0</v>
          </cell>
          <cell r="BT47">
            <v>0</v>
          </cell>
          <cell r="CA47">
            <v>400</v>
          </cell>
        </row>
        <row r="48">
          <cell r="C48" t="str">
            <v>สามชั้นหมูตัดเส้น(supทำ) 2 นิ้ว</v>
          </cell>
          <cell r="D48">
            <v>20</v>
          </cell>
          <cell r="E48">
            <v>0</v>
          </cell>
          <cell r="H48">
            <v>60</v>
          </cell>
          <cell r="L48">
            <v>0</v>
          </cell>
          <cell r="M48">
            <v>100</v>
          </cell>
          <cell r="N48">
            <v>75</v>
          </cell>
          <cell r="P48">
            <v>220</v>
          </cell>
          <cell r="T48">
            <v>50</v>
          </cell>
          <cell r="U48">
            <v>0</v>
          </cell>
          <cell r="V48">
            <v>0</v>
          </cell>
          <cell r="W48">
            <v>300</v>
          </cell>
          <cell r="X48">
            <v>120</v>
          </cell>
          <cell r="Y48">
            <v>0</v>
          </cell>
          <cell r="AC48">
            <v>40</v>
          </cell>
          <cell r="AD48">
            <v>50</v>
          </cell>
          <cell r="AF48">
            <v>0</v>
          </cell>
          <cell r="AP48">
            <v>0</v>
          </cell>
          <cell r="AR48">
            <v>30</v>
          </cell>
          <cell r="AT48">
            <v>0</v>
          </cell>
          <cell r="AU48">
            <v>0</v>
          </cell>
          <cell r="AW48">
            <v>100</v>
          </cell>
          <cell r="AX48">
            <v>0</v>
          </cell>
          <cell r="AZ48">
            <v>0</v>
          </cell>
          <cell r="BC48">
            <v>0</v>
          </cell>
          <cell r="BD48">
            <v>0</v>
          </cell>
          <cell r="BI48">
            <v>0</v>
          </cell>
          <cell r="BK48">
            <v>60</v>
          </cell>
          <cell r="BO48">
            <v>60</v>
          </cell>
          <cell r="BT48">
            <v>0</v>
          </cell>
          <cell r="CA48">
            <v>1285</v>
          </cell>
        </row>
        <row r="49">
          <cell r="C49" t="str">
            <v>ซี่โครงหมูตัดเส้น(sup ทำ)</v>
          </cell>
          <cell r="D49">
            <v>10</v>
          </cell>
          <cell r="E49">
            <v>0</v>
          </cell>
          <cell r="H49">
            <v>50</v>
          </cell>
          <cell r="L49">
            <v>0</v>
          </cell>
          <cell r="M49">
            <v>0</v>
          </cell>
          <cell r="N49">
            <v>120</v>
          </cell>
          <cell r="P49">
            <v>0</v>
          </cell>
          <cell r="T49">
            <v>0</v>
          </cell>
          <cell r="U49">
            <v>0</v>
          </cell>
          <cell r="V49">
            <v>30</v>
          </cell>
          <cell r="W49">
            <v>180</v>
          </cell>
          <cell r="X49">
            <v>0</v>
          </cell>
          <cell r="Y49">
            <v>2</v>
          </cell>
          <cell r="AC49">
            <v>40</v>
          </cell>
          <cell r="AD49">
            <v>10</v>
          </cell>
          <cell r="AF49">
            <v>0</v>
          </cell>
          <cell r="AP49">
            <v>20</v>
          </cell>
          <cell r="AR49">
            <v>0</v>
          </cell>
          <cell r="AT49">
            <v>0</v>
          </cell>
          <cell r="AU49">
            <v>0</v>
          </cell>
          <cell r="AW49">
            <v>70</v>
          </cell>
          <cell r="AX49">
            <v>100</v>
          </cell>
          <cell r="AZ49">
            <v>0</v>
          </cell>
          <cell r="BC49">
            <v>0</v>
          </cell>
          <cell r="BD49">
            <v>0</v>
          </cell>
          <cell r="BI49">
            <v>10</v>
          </cell>
          <cell r="BK49">
            <v>0</v>
          </cell>
          <cell r="BO49">
            <v>60</v>
          </cell>
          <cell r="BT49">
            <v>0</v>
          </cell>
          <cell r="CA49">
            <v>702</v>
          </cell>
        </row>
        <row r="50">
          <cell r="C50" t="str">
            <v>สะโพกตัดชิ้น</v>
          </cell>
          <cell r="D50">
            <v>0</v>
          </cell>
          <cell r="E50">
            <v>0</v>
          </cell>
          <cell r="H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C50">
            <v>0</v>
          </cell>
          <cell r="AD50">
            <v>100</v>
          </cell>
          <cell r="AF50">
            <v>0</v>
          </cell>
          <cell r="AP50">
            <v>0</v>
          </cell>
          <cell r="AR50">
            <v>0</v>
          </cell>
          <cell r="AT50">
            <v>0</v>
          </cell>
          <cell r="AU50">
            <v>0</v>
          </cell>
          <cell r="AW50">
            <v>0</v>
          </cell>
          <cell r="AX50">
            <v>0</v>
          </cell>
          <cell r="AZ50">
            <v>0</v>
          </cell>
          <cell r="BC50">
            <v>0</v>
          </cell>
          <cell r="BD50">
            <v>0</v>
          </cell>
          <cell r="BI50">
            <v>0</v>
          </cell>
          <cell r="BK50">
            <v>0</v>
          </cell>
          <cell r="BO50">
            <v>140</v>
          </cell>
          <cell r="BT50">
            <v>0</v>
          </cell>
          <cell r="CA50">
            <v>240</v>
          </cell>
        </row>
        <row r="51">
          <cell r="C51" t="str">
            <v>สันนอกตัดชิ้น</v>
          </cell>
          <cell r="D51">
            <v>0</v>
          </cell>
          <cell r="E51">
            <v>0</v>
          </cell>
          <cell r="H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AC51">
            <v>0</v>
          </cell>
          <cell r="AD51">
            <v>0</v>
          </cell>
          <cell r="AF51">
            <v>0</v>
          </cell>
          <cell r="AP51">
            <v>0</v>
          </cell>
          <cell r="AR51">
            <v>0</v>
          </cell>
          <cell r="AT51">
            <v>0</v>
          </cell>
          <cell r="AU51">
            <v>0</v>
          </cell>
          <cell r="AW51">
            <v>0</v>
          </cell>
          <cell r="AX51">
            <v>0</v>
          </cell>
          <cell r="AZ51">
            <v>0</v>
          </cell>
          <cell r="BC51">
            <v>0</v>
          </cell>
          <cell r="BD51">
            <v>0</v>
          </cell>
          <cell r="BI51">
            <v>0</v>
          </cell>
          <cell r="BK51">
            <v>0</v>
          </cell>
          <cell r="BO51">
            <v>80</v>
          </cell>
          <cell r="BT51">
            <v>0</v>
          </cell>
          <cell r="CA51">
            <v>80</v>
          </cell>
        </row>
        <row r="52">
          <cell r="C52" t="str">
            <v>มันหมูหั่นเต๋า</v>
          </cell>
          <cell r="D52">
            <v>0</v>
          </cell>
          <cell r="E52">
            <v>0</v>
          </cell>
          <cell r="H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AC52">
            <v>5</v>
          </cell>
          <cell r="AD52">
            <v>0</v>
          </cell>
          <cell r="AF52">
            <v>0</v>
          </cell>
          <cell r="AP52">
            <v>0</v>
          </cell>
          <cell r="AR52">
            <v>0</v>
          </cell>
          <cell r="AT52">
            <v>0</v>
          </cell>
          <cell r="AU52">
            <v>0</v>
          </cell>
          <cell r="AW52">
            <v>0</v>
          </cell>
          <cell r="AX52">
            <v>0</v>
          </cell>
          <cell r="AZ52">
            <v>0</v>
          </cell>
          <cell r="BC52">
            <v>0</v>
          </cell>
          <cell r="BD52">
            <v>0</v>
          </cell>
          <cell r="BI52">
            <v>0</v>
          </cell>
          <cell r="BK52">
            <v>5</v>
          </cell>
          <cell r="BO52">
            <v>0</v>
          </cell>
          <cell r="BT52">
            <v>0</v>
          </cell>
          <cell r="CA52">
            <v>10</v>
          </cell>
        </row>
        <row r="53">
          <cell r="C53" t="str">
            <v>สะโพกติดหนังตัดชิ้น</v>
          </cell>
          <cell r="D53">
            <v>0</v>
          </cell>
          <cell r="E53">
            <v>0</v>
          </cell>
          <cell r="H53">
            <v>0</v>
          </cell>
          <cell r="L53">
            <v>0</v>
          </cell>
          <cell r="M53">
            <v>0</v>
          </cell>
          <cell r="N53">
            <v>70</v>
          </cell>
          <cell r="P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C53">
            <v>0</v>
          </cell>
          <cell r="AD53">
            <v>0</v>
          </cell>
          <cell r="AF53">
            <v>0</v>
          </cell>
          <cell r="AP53">
            <v>0</v>
          </cell>
          <cell r="AR53">
            <v>0</v>
          </cell>
          <cell r="AT53">
            <v>0</v>
          </cell>
          <cell r="AU53">
            <v>0</v>
          </cell>
          <cell r="AW53">
            <v>0</v>
          </cell>
          <cell r="AX53">
            <v>80</v>
          </cell>
          <cell r="AZ53">
            <v>0</v>
          </cell>
          <cell r="BC53">
            <v>0</v>
          </cell>
          <cell r="BD53">
            <v>0</v>
          </cell>
          <cell r="BI53">
            <v>0</v>
          </cell>
          <cell r="BK53">
            <v>0</v>
          </cell>
          <cell r="BO53">
            <v>0</v>
          </cell>
          <cell r="BT53">
            <v>0</v>
          </cell>
          <cell r="CA53">
            <v>150</v>
          </cell>
        </row>
        <row r="54">
          <cell r="C54" t="str">
            <v>กระดูกอกหมู</v>
          </cell>
          <cell r="D54">
            <v>0</v>
          </cell>
          <cell r="E54">
            <v>0</v>
          </cell>
          <cell r="H54">
            <v>0</v>
          </cell>
          <cell r="L54">
            <v>0</v>
          </cell>
          <cell r="M54">
            <v>0</v>
          </cell>
          <cell r="N54">
            <v>20</v>
          </cell>
          <cell r="P54">
            <v>5</v>
          </cell>
          <cell r="T54">
            <v>0</v>
          </cell>
          <cell r="U54">
            <v>0</v>
          </cell>
          <cell r="V54">
            <v>20</v>
          </cell>
          <cell r="W54">
            <v>0</v>
          </cell>
          <cell r="X54">
            <v>0</v>
          </cell>
          <cell r="Y54">
            <v>0</v>
          </cell>
          <cell r="AC54">
            <v>10</v>
          </cell>
          <cell r="AD54">
            <v>40</v>
          </cell>
          <cell r="AF54">
            <v>0</v>
          </cell>
          <cell r="AP54">
            <v>0</v>
          </cell>
          <cell r="AR54">
            <v>0</v>
          </cell>
          <cell r="AT54">
            <v>20</v>
          </cell>
          <cell r="AU54">
            <v>10</v>
          </cell>
          <cell r="AW54">
            <v>0</v>
          </cell>
          <cell r="AX54">
            <v>0</v>
          </cell>
          <cell r="AZ54">
            <v>0</v>
          </cell>
          <cell r="BC54">
            <v>0</v>
          </cell>
          <cell r="BD54">
            <v>0</v>
          </cell>
          <cell r="BI54">
            <v>0</v>
          </cell>
          <cell r="BK54">
            <v>0</v>
          </cell>
          <cell r="BO54">
            <v>0</v>
          </cell>
          <cell r="BT54">
            <v>0</v>
          </cell>
          <cell r="CA54">
            <v>125</v>
          </cell>
        </row>
        <row r="55">
          <cell r="C55" t="str">
            <v>กระดูกซุปติดเนื้อ</v>
          </cell>
          <cell r="D55">
            <v>0</v>
          </cell>
          <cell r="E55">
            <v>0</v>
          </cell>
          <cell r="H55">
            <v>0</v>
          </cell>
          <cell r="L55">
            <v>0</v>
          </cell>
          <cell r="M55">
            <v>60</v>
          </cell>
          <cell r="N55">
            <v>100</v>
          </cell>
          <cell r="P55">
            <v>80</v>
          </cell>
          <cell r="T55">
            <v>0</v>
          </cell>
          <cell r="U55">
            <v>40</v>
          </cell>
          <cell r="V55">
            <v>0</v>
          </cell>
          <cell r="W55">
            <v>60</v>
          </cell>
          <cell r="X55">
            <v>100</v>
          </cell>
          <cell r="Y55">
            <v>7</v>
          </cell>
          <cell r="AC55">
            <v>150</v>
          </cell>
          <cell r="AD55">
            <v>0</v>
          </cell>
          <cell r="AF55">
            <v>110</v>
          </cell>
          <cell r="AP55">
            <v>50</v>
          </cell>
          <cell r="AR55">
            <v>40</v>
          </cell>
          <cell r="AT55">
            <v>100</v>
          </cell>
          <cell r="AU55">
            <v>100</v>
          </cell>
          <cell r="AW55">
            <v>60</v>
          </cell>
          <cell r="AX55">
            <v>80</v>
          </cell>
          <cell r="AZ55">
            <v>0</v>
          </cell>
          <cell r="BC55">
            <v>110</v>
          </cell>
          <cell r="BD55">
            <v>250</v>
          </cell>
          <cell r="BI55">
            <v>10</v>
          </cell>
          <cell r="BK55">
            <v>0</v>
          </cell>
          <cell r="BO55">
            <v>0</v>
          </cell>
          <cell r="BT55">
            <v>0</v>
          </cell>
          <cell r="CA55">
            <v>1507</v>
          </cell>
        </row>
        <row r="56">
          <cell r="C56" t="str">
            <v>เครื่องในหมูรวม</v>
          </cell>
          <cell r="D56">
            <v>0</v>
          </cell>
          <cell r="E56">
            <v>0</v>
          </cell>
          <cell r="H56">
            <v>0</v>
          </cell>
          <cell r="L56">
            <v>0</v>
          </cell>
          <cell r="M56">
            <v>5</v>
          </cell>
          <cell r="N56">
            <v>0</v>
          </cell>
          <cell r="P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AC56">
            <v>0</v>
          </cell>
          <cell r="AD56">
            <v>0</v>
          </cell>
          <cell r="AF56">
            <v>0</v>
          </cell>
          <cell r="AP56">
            <v>0</v>
          </cell>
          <cell r="AR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Z56">
            <v>0</v>
          </cell>
          <cell r="BC56">
            <v>0</v>
          </cell>
          <cell r="BD56">
            <v>0</v>
          </cell>
          <cell r="BI56">
            <v>0</v>
          </cell>
          <cell r="BK56">
            <v>5</v>
          </cell>
          <cell r="BO56">
            <v>0</v>
          </cell>
          <cell r="BT56">
            <v>0</v>
          </cell>
          <cell r="CA56">
            <v>10</v>
          </cell>
        </row>
        <row r="57">
          <cell r="C57" t="str">
            <v>ซี่โครงหั่นชิ้น</v>
          </cell>
          <cell r="D57">
            <v>0</v>
          </cell>
          <cell r="E57">
            <v>0</v>
          </cell>
          <cell r="H57">
            <v>0</v>
          </cell>
          <cell r="L57">
            <v>0</v>
          </cell>
          <cell r="M57">
            <v>30</v>
          </cell>
          <cell r="N57">
            <v>20</v>
          </cell>
          <cell r="P57">
            <v>0</v>
          </cell>
          <cell r="T57">
            <v>0</v>
          </cell>
          <cell r="U57">
            <v>10</v>
          </cell>
          <cell r="V57">
            <v>0</v>
          </cell>
          <cell r="W57">
            <v>0</v>
          </cell>
          <cell r="X57">
            <v>20</v>
          </cell>
          <cell r="Y57">
            <v>0</v>
          </cell>
          <cell r="AC57">
            <v>15</v>
          </cell>
          <cell r="AD57">
            <v>60</v>
          </cell>
          <cell r="AF57">
            <v>0</v>
          </cell>
          <cell r="AP57">
            <v>0</v>
          </cell>
          <cell r="AR57">
            <v>40</v>
          </cell>
          <cell r="AT57">
            <v>0</v>
          </cell>
          <cell r="AU57">
            <v>0</v>
          </cell>
          <cell r="AW57">
            <v>60</v>
          </cell>
          <cell r="AX57">
            <v>0</v>
          </cell>
          <cell r="AZ57">
            <v>30</v>
          </cell>
          <cell r="BC57">
            <v>0</v>
          </cell>
          <cell r="BD57">
            <v>0</v>
          </cell>
          <cell r="BI57">
            <v>0</v>
          </cell>
          <cell r="BK57">
            <v>0</v>
          </cell>
          <cell r="BO57">
            <v>0</v>
          </cell>
          <cell r="BT57">
            <v>0</v>
          </cell>
          <cell r="CA57">
            <v>285</v>
          </cell>
        </row>
        <row r="58">
          <cell r="C58" t="str">
            <v>ขาหลังหมูบั้ง (supทำ)</v>
          </cell>
          <cell r="D58">
            <v>0</v>
          </cell>
          <cell r="E58">
            <v>0</v>
          </cell>
          <cell r="H58">
            <v>0</v>
          </cell>
          <cell r="L58">
            <v>0</v>
          </cell>
          <cell r="M58">
            <v>0</v>
          </cell>
          <cell r="N58">
            <v>10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C58">
            <v>0</v>
          </cell>
          <cell r="AD58">
            <v>0</v>
          </cell>
          <cell r="AF58">
            <v>0</v>
          </cell>
          <cell r="AP58">
            <v>0</v>
          </cell>
          <cell r="AR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Z58">
            <v>0</v>
          </cell>
          <cell r="BC58">
            <v>0</v>
          </cell>
          <cell r="BD58">
            <v>0</v>
          </cell>
          <cell r="BI58">
            <v>0</v>
          </cell>
          <cell r="BK58">
            <v>0</v>
          </cell>
          <cell r="BO58">
            <v>0</v>
          </cell>
          <cell r="BT58">
            <v>0</v>
          </cell>
          <cell r="CA58">
            <v>10</v>
          </cell>
        </row>
        <row r="59">
          <cell r="C59" t="str">
            <v>ขาหน้าหมูบั้ง (supทำ)</v>
          </cell>
          <cell r="D59">
            <v>0</v>
          </cell>
          <cell r="E59">
            <v>0</v>
          </cell>
          <cell r="H59">
            <v>0</v>
          </cell>
          <cell r="L59">
            <v>0</v>
          </cell>
          <cell r="M59">
            <v>0</v>
          </cell>
          <cell r="N59">
            <v>10</v>
          </cell>
          <cell r="P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AC59">
            <v>0</v>
          </cell>
          <cell r="AD59">
            <v>0</v>
          </cell>
          <cell r="AF59">
            <v>0</v>
          </cell>
          <cell r="AP59">
            <v>0</v>
          </cell>
          <cell r="AR59">
            <v>0</v>
          </cell>
          <cell r="AT59">
            <v>0</v>
          </cell>
          <cell r="AU59">
            <v>0</v>
          </cell>
          <cell r="AW59">
            <v>0</v>
          </cell>
          <cell r="AX59">
            <v>0</v>
          </cell>
          <cell r="AZ59">
            <v>0</v>
          </cell>
          <cell r="BC59">
            <v>0</v>
          </cell>
          <cell r="BD59">
            <v>0</v>
          </cell>
          <cell r="BI59">
            <v>0</v>
          </cell>
          <cell r="BK59">
            <v>0</v>
          </cell>
          <cell r="BO59">
            <v>0</v>
          </cell>
          <cell r="BT59">
            <v>0</v>
          </cell>
          <cell r="CA59">
            <v>10</v>
          </cell>
        </row>
        <row r="60">
          <cell r="C60" t="str">
            <v>สันนอกหมูติดหนัง</v>
          </cell>
          <cell r="D60">
            <v>0</v>
          </cell>
          <cell r="E60">
            <v>0</v>
          </cell>
          <cell r="H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  <cell r="T60">
            <v>0</v>
          </cell>
          <cell r="U60">
            <v>20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AC60">
            <v>0</v>
          </cell>
          <cell r="AD60">
            <v>0</v>
          </cell>
          <cell r="AF60">
            <v>0</v>
          </cell>
          <cell r="AP60">
            <v>0</v>
          </cell>
          <cell r="AR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40</v>
          </cell>
          <cell r="AZ60">
            <v>0</v>
          </cell>
          <cell r="BC60">
            <v>0</v>
          </cell>
          <cell r="BD60">
            <v>0</v>
          </cell>
          <cell r="BI60">
            <v>0</v>
          </cell>
          <cell r="BK60">
            <v>0</v>
          </cell>
          <cell r="BO60">
            <v>0</v>
          </cell>
          <cell r="BT60">
            <v>0</v>
          </cell>
          <cell r="CA60">
            <v>60</v>
          </cell>
        </row>
        <row r="61">
          <cell r="C61" t="str">
            <v>ขาหมูเลาะกระดูกติดหนัง</v>
          </cell>
          <cell r="D61">
            <v>0</v>
          </cell>
          <cell r="E61">
            <v>0</v>
          </cell>
          <cell r="H61">
            <v>50</v>
          </cell>
          <cell r="L61">
            <v>0</v>
          </cell>
          <cell r="M61">
            <v>10</v>
          </cell>
          <cell r="N61">
            <v>100</v>
          </cell>
          <cell r="P61">
            <v>10</v>
          </cell>
          <cell r="T61">
            <v>36</v>
          </cell>
          <cell r="U61">
            <v>0</v>
          </cell>
          <cell r="V61">
            <v>20</v>
          </cell>
          <cell r="W61">
            <v>50</v>
          </cell>
          <cell r="X61">
            <v>20</v>
          </cell>
          <cell r="Y61">
            <v>3</v>
          </cell>
          <cell r="AC61">
            <v>20</v>
          </cell>
          <cell r="AD61">
            <v>30</v>
          </cell>
          <cell r="AF61">
            <v>0</v>
          </cell>
          <cell r="AP61">
            <v>0</v>
          </cell>
          <cell r="AR61">
            <v>0</v>
          </cell>
          <cell r="AT61">
            <v>0</v>
          </cell>
          <cell r="AU61">
            <v>50</v>
          </cell>
          <cell r="AW61">
            <v>20</v>
          </cell>
          <cell r="AX61">
            <v>10</v>
          </cell>
          <cell r="AZ61">
            <v>0</v>
          </cell>
          <cell r="BC61">
            <v>0</v>
          </cell>
          <cell r="BD61">
            <v>30</v>
          </cell>
          <cell r="BI61">
            <v>0</v>
          </cell>
          <cell r="BK61">
            <v>0</v>
          </cell>
          <cell r="BO61">
            <v>0</v>
          </cell>
          <cell r="BT61">
            <v>0</v>
          </cell>
          <cell r="CA61">
            <v>459</v>
          </cell>
        </row>
        <row r="62">
          <cell r="C62" t="str">
            <v>อ้อมคอหมู(มันคอ)</v>
          </cell>
          <cell r="D62">
            <v>0</v>
          </cell>
          <cell r="E62">
            <v>0</v>
          </cell>
          <cell r="H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C62">
            <v>5</v>
          </cell>
          <cell r="AD62">
            <v>0</v>
          </cell>
          <cell r="AF62">
            <v>0</v>
          </cell>
          <cell r="AP62">
            <v>0</v>
          </cell>
          <cell r="AR62">
            <v>0</v>
          </cell>
          <cell r="AT62">
            <v>0</v>
          </cell>
          <cell r="AU62">
            <v>0</v>
          </cell>
          <cell r="AW62">
            <v>5</v>
          </cell>
          <cell r="AX62">
            <v>0</v>
          </cell>
          <cell r="AZ62">
            <v>0</v>
          </cell>
          <cell r="BC62">
            <v>0</v>
          </cell>
          <cell r="BD62">
            <v>0</v>
          </cell>
          <cell r="BI62">
            <v>0</v>
          </cell>
          <cell r="BK62">
            <v>0</v>
          </cell>
          <cell r="BO62">
            <v>0</v>
          </cell>
          <cell r="BT62">
            <v>0</v>
          </cell>
          <cell r="CA62">
            <v>10</v>
          </cell>
        </row>
        <row r="63">
          <cell r="C63" t="str">
            <v>เนื้อไหล่หมูติดหนังหั่นชิ้น(M)</v>
          </cell>
          <cell r="D63">
            <v>0</v>
          </cell>
          <cell r="E63">
            <v>0</v>
          </cell>
          <cell r="H63">
            <v>0</v>
          </cell>
          <cell r="L63">
            <v>0</v>
          </cell>
          <cell r="M63">
            <v>5</v>
          </cell>
          <cell r="N63">
            <v>30</v>
          </cell>
          <cell r="P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5</v>
          </cell>
          <cell r="Y63">
            <v>0</v>
          </cell>
          <cell r="AC63">
            <v>10</v>
          </cell>
          <cell r="AD63">
            <v>0</v>
          </cell>
          <cell r="AF63">
            <v>20</v>
          </cell>
          <cell r="AP63">
            <v>0</v>
          </cell>
          <cell r="AR63">
            <v>0</v>
          </cell>
          <cell r="AT63">
            <v>0</v>
          </cell>
          <cell r="AU63">
            <v>5</v>
          </cell>
          <cell r="AW63">
            <v>0</v>
          </cell>
          <cell r="AX63">
            <v>0</v>
          </cell>
          <cell r="AZ63">
            <v>0</v>
          </cell>
          <cell r="BC63">
            <v>20</v>
          </cell>
          <cell r="BD63">
            <v>180</v>
          </cell>
          <cell r="BI63">
            <v>0</v>
          </cell>
          <cell r="BK63">
            <v>10</v>
          </cell>
          <cell r="BO63">
            <v>0</v>
          </cell>
          <cell r="BT63">
            <v>0</v>
          </cell>
          <cell r="CA63">
            <v>285</v>
          </cell>
        </row>
        <row r="64">
          <cell r="C64" t="str">
            <v>หัวไหล่หมูติดหนังสไลด์</v>
          </cell>
          <cell r="D64">
            <v>0</v>
          </cell>
          <cell r="E64">
            <v>0</v>
          </cell>
          <cell r="H64">
            <v>0</v>
          </cell>
          <cell r="L64">
            <v>0</v>
          </cell>
          <cell r="M64">
            <v>0</v>
          </cell>
          <cell r="N64">
            <v>25</v>
          </cell>
          <cell r="P64">
            <v>0</v>
          </cell>
          <cell r="T64">
            <v>0</v>
          </cell>
          <cell r="U64">
            <v>0</v>
          </cell>
          <cell r="V64">
            <v>10</v>
          </cell>
          <cell r="W64">
            <v>0</v>
          </cell>
          <cell r="X64">
            <v>0</v>
          </cell>
          <cell r="Y64">
            <v>0</v>
          </cell>
          <cell r="AC64">
            <v>0</v>
          </cell>
          <cell r="AD64">
            <v>0</v>
          </cell>
          <cell r="AF64">
            <v>0</v>
          </cell>
          <cell r="AP64">
            <v>0</v>
          </cell>
          <cell r="AR64">
            <v>0</v>
          </cell>
          <cell r="AT64">
            <v>0</v>
          </cell>
          <cell r="AU64">
            <v>0</v>
          </cell>
          <cell r="AW64">
            <v>30</v>
          </cell>
          <cell r="AX64">
            <v>0</v>
          </cell>
          <cell r="AZ64">
            <v>0</v>
          </cell>
          <cell r="BC64">
            <v>0</v>
          </cell>
          <cell r="BD64">
            <v>0</v>
          </cell>
          <cell r="BI64">
            <v>0</v>
          </cell>
          <cell r="BK64">
            <v>0</v>
          </cell>
          <cell r="BO64">
            <v>0</v>
          </cell>
          <cell r="BT64">
            <v>0</v>
          </cell>
          <cell r="CA64">
            <v>65</v>
          </cell>
        </row>
        <row r="65">
          <cell r="C65" t="str">
            <v>หมูบดผสมมัน 30%</v>
          </cell>
          <cell r="D65">
            <v>0</v>
          </cell>
          <cell r="E65">
            <v>0</v>
          </cell>
          <cell r="H65">
            <v>0</v>
          </cell>
          <cell r="L65">
            <v>0</v>
          </cell>
          <cell r="M65">
            <v>0</v>
          </cell>
          <cell r="N65">
            <v>40</v>
          </cell>
          <cell r="P65">
            <v>50</v>
          </cell>
          <cell r="T65">
            <v>0</v>
          </cell>
          <cell r="U65">
            <v>0</v>
          </cell>
          <cell r="V65">
            <v>100</v>
          </cell>
          <cell r="W65">
            <v>0</v>
          </cell>
          <cell r="X65">
            <v>30</v>
          </cell>
          <cell r="Y65">
            <v>6</v>
          </cell>
          <cell r="AC65">
            <v>100</v>
          </cell>
          <cell r="AD65">
            <v>0</v>
          </cell>
          <cell r="AF65">
            <v>0</v>
          </cell>
          <cell r="AP65">
            <v>0</v>
          </cell>
          <cell r="AR65">
            <v>0</v>
          </cell>
          <cell r="AT65">
            <v>0</v>
          </cell>
          <cell r="AU65">
            <v>0</v>
          </cell>
          <cell r="AW65">
            <v>0</v>
          </cell>
          <cell r="AX65">
            <v>30</v>
          </cell>
          <cell r="AZ65">
            <v>0</v>
          </cell>
          <cell r="BC65">
            <v>0</v>
          </cell>
          <cell r="BD65">
            <v>0</v>
          </cell>
          <cell r="BI65">
            <v>0</v>
          </cell>
          <cell r="BK65">
            <v>0</v>
          </cell>
          <cell r="BO65">
            <v>0</v>
          </cell>
          <cell r="BT65">
            <v>0</v>
          </cell>
          <cell r="CA65">
            <v>356</v>
          </cell>
        </row>
        <row r="66">
          <cell r="C66" t="str">
            <v>คากิ</v>
          </cell>
          <cell r="D66">
            <v>0</v>
          </cell>
          <cell r="E66">
            <v>0</v>
          </cell>
          <cell r="H66">
            <v>30</v>
          </cell>
          <cell r="L66">
            <v>0</v>
          </cell>
          <cell r="M66">
            <v>0</v>
          </cell>
          <cell r="N66">
            <v>15</v>
          </cell>
          <cell r="P66">
            <v>5</v>
          </cell>
          <cell r="T66">
            <v>0</v>
          </cell>
          <cell r="U66">
            <v>0</v>
          </cell>
          <cell r="V66">
            <v>10</v>
          </cell>
          <cell r="W66">
            <v>0</v>
          </cell>
          <cell r="X66">
            <v>0</v>
          </cell>
          <cell r="Y66">
            <v>0</v>
          </cell>
          <cell r="AC66">
            <v>0</v>
          </cell>
          <cell r="AD66">
            <v>0</v>
          </cell>
          <cell r="AF66">
            <v>0</v>
          </cell>
          <cell r="AP66">
            <v>0</v>
          </cell>
          <cell r="AR66">
            <v>0</v>
          </cell>
          <cell r="AT66">
            <v>0</v>
          </cell>
          <cell r="AU66">
            <v>0</v>
          </cell>
          <cell r="AW66">
            <v>0</v>
          </cell>
          <cell r="AX66">
            <v>0</v>
          </cell>
          <cell r="AZ66">
            <v>0</v>
          </cell>
          <cell r="BC66">
            <v>0</v>
          </cell>
          <cell r="BD66">
            <v>0</v>
          </cell>
          <cell r="BI66">
            <v>0</v>
          </cell>
          <cell r="BK66">
            <v>0</v>
          </cell>
          <cell r="BO66">
            <v>0</v>
          </cell>
          <cell r="BT66">
            <v>0</v>
          </cell>
          <cell r="CA66">
            <v>60</v>
          </cell>
        </row>
        <row r="67">
          <cell r="C67" t="str">
            <v>ตับหมูสไลด์</v>
          </cell>
          <cell r="D67">
            <v>0</v>
          </cell>
          <cell r="E67">
            <v>0</v>
          </cell>
          <cell r="H67">
            <v>0</v>
          </cell>
          <cell r="L67">
            <v>0</v>
          </cell>
          <cell r="M67">
            <v>0</v>
          </cell>
          <cell r="N67">
            <v>0</v>
          </cell>
          <cell r="P67">
            <v>10</v>
          </cell>
          <cell r="T67">
            <v>0</v>
          </cell>
          <cell r="U67">
            <v>0</v>
          </cell>
          <cell r="V67">
            <v>0</v>
          </cell>
          <cell r="W67">
            <v>15</v>
          </cell>
          <cell r="X67">
            <v>0</v>
          </cell>
          <cell r="Y67">
            <v>0</v>
          </cell>
          <cell r="AC67">
            <v>0</v>
          </cell>
          <cell r="AD67">
            <v>5</v>
          </cell>
          <cell r="AF67">
            <v>0</v>
          </cell>
          <cell r="AP67">
            <v>0</v>
          </cell>
          <cell r="AR67">
            <v>0</v>
          </cell>
          <cell r="AT67">
            <v>0</v>
          </cell>
          <cell r="AU67">
            <v>5</v>
          </cell>
          <cell r="AW67">
            <v>0</v>
          </cell>
          <cell r="AX67">
            <v>20</v>
          </cell>
          <cell r="AZ67">
            <v>0</v>
          </cell>
          <cell r="BC67">
            <v>0</v>
          </cell>
          <cell r="BD67">
            <v>0</v>
          </cell>
          <cell r="BI67">
            <v>0</v>
          </cell>
          <cell r="BK67">
            <v>0</v>
          </cell>
          <cell r="BO67">
            <v>0</v>
          </cell>
          <cell r="BT67">
            <v>0</v>
          </cell>
          <cell r="CA67">
            <v>55</v>
          </cell>
          <cell r="CU67" t="str">
            <v xml:space="preserve"> </v>
          </cell>
        </row>
        <row r="68">
          <cell r="C68" t="str">
            <v>เนื้อหมูหั่นแกง</v>
          </cell>
          <cell r="D68">
            <v>0</v>
          </cell>
          <cell r="E68">
            <v>0</v>
          </cell>
          <cell r="H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  <cell r="T68">
            <v>0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C68">
            <v>0</v>
          </cell>
          <cell r="AD68">
            <v>0</v>
          </cell>
          <cell r="AF68">
            <v>0</v>
          </cell>
          <cell r="AP68">
            <v>0</v>
          </cell>
          <cell r="AR68">
            <v>0</v>
          </cell>
          <cell r="AT68">
            <v>0</v>
          </cell>
          <cell r="AU68">
            <v>0</v>
          </cell>
          <cell r="AW68">
            <v>0</v>
          </cell>
          <cell r="AX68">
            <v>0</v>
          </cell>
          <cell r="AZ68">
            <v>0</v>
          </cell>
          <cell r="BC68">
            <v>0</v>
          </cell>
          <cell r="BD68">
            <v>0</v>
          </cell>
          <cell r="BI68">
            <v>0</v>
          </cell>
          <cell r="BK68">
            <v>40</v>
          </cell>
          <cell r="BO68">
            <v>0</v>
          </cell>
          <cell r="BT68">
            <v>0</v>
          </cell>
          <cell r="CA68">
            <v>50</v>
          </cell>
        </row>
        <row r="69">
          <cell r="C69" t="str">
            <v>หัวหมูกลม</v>
          </cell>
          <cell r="D69">
            <v>0</v>
          </cell>
          <cell r="E69">
            <v>0</v>
          </cell>
          <cell r="H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C69">
            <v>0</v>
          </cell>
          <cell r="AD69">
            <v>0</v>
          </cell>
          <cell r="AF69">
            <v>0</v>
          </cell>
          <cell r="AP69">
            <v>0</v>
          </cell>
          <cell r="AR69">
            <v>0</v>
          </cell>
          <cell r="AT69">
            <v>0</v>
          </cell>
          <cell r="AU69">
            <v>0</v>
          </cell>
          <cell r="AW69">
            <v>0</v>
          </cell>
          <cell r="AX69">
            <v>0</v>
          </cell>
          <cell r="AZ69">
            <v>0</v>
          </cell>
          <cell r="BC69">
            <v>0</v>
          </cell>
          <cell r="BD69">
            <v>0</v>
          </cell>
          <cell r="BI69">
            <v>0</v>
          </cell>
          <cell r="BK69">
            <v>0</v>
          </cell>
          <cell r="BO69">
            <v>0</v>
          </cell>
          <cell r="BT69">
            <v>0</v>
          </cell>
          <cell r="CA69">
            <v>0</v>
          </cell>
        </row>
        <row r="70">
          <cell r="C70" t="str">
            <v>มันหมูตัดเส้น (supทำ)</v>
          </cell>
          <cell r="D70">
            <v>0</v>
          </cell>
          <cell r="E70">
            <v>0</v>
          </cell>
          <cell r="H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C70">
            <v>0</v>
          </cell>
          <cell r="AD70">
            <v>0</v>
          </cell>
          <cell r="AF70">
            <v>0</v>
          </cell>
          <cell r="AP70">
            <v>0</v>
          </cell>
          <cell r="AR70">
            <v>0</v>
          </cell>
          <cell r="AT70">
            <v>0</v>
          </cell>
          <cell r="AU70">
            <v>0</v>
          </cell>
          <cell r="AW70">
            <v>0</v>
          </cell>
          <cell r="AX70">
            <v>0</v>
          </cell>
          <cell r="AZ70">
            <v>0</v>
          </cell>
          <cell r="BC70">
            <v>0</v>
          </cell>
          <cell r="BD70">
            <v>0</v>
          </cell>
          <cell r="BI70">
            <v>0</v>
          </cell>
          <cell r="BK70">
            <v>0</v>
          </cell>
          <cell r="BO70">
            <v>0</v>
          </cell>
          <cell r="BT70">
            <v>0</v>
          </cell>
          <cell r="CA70">
            <v>0</v>
          </cell>
        </row>
        <row r="71">
          <cell r="C71" t="str">
            <v>ขาหมูเลาะกระดูกตัดชิ้น</v>
          </cell>
          <cell r="D71">
            <v>10</v>
          </cell>
          <cell r="E71">
            <v>0</v>
          </cell>
          <cell r="H71">
            <v>60</v>
          </cell>
          <cell r="L71">
            <v>0</v>
          </cell>
          <cell r="M71">
            <v>30</v>
          </cell>
          <cell r="N71">
            <v>90</v>
          </cell>
          <cell r="P71">
            <v>100</v>
          </cell>
          <cell r="T71">
            <v>0</v>
          </cell>
          <cell r="U71">
            <v>20</v>
          </cell>
          <cell r="V71">
            <v>20</v>
          </cell>
          <cell r="W71">
            <v>10</v>
          </cell>
          <cell r="X71">
            <v>10</v>
          </cell>
          <cell r="Y71">
            <v>10</v>
          </cell>
          <cell r="AC71">
            <v>30</v>
          </cell>
          <cell r="AD71">
            <v>30</v>
          </cell>
          <cell r="AF71">
            <v>0</v>
          </cell>
          <cell r="AP71">
            <v>0</v>
          </cell>
          <cell r="AR71">
            <v>0</v>
          </cell>
          <cell r="AT71">
            <v>0</v>
          </cell>
          <cell r="AU71">
            <v>0</v>
          </cell>
          <cell r="AW71">
            <v>0</v>
          </cell>
          <cell r="AX71">
            <v>0</v>
          </cell>
          <cell r="AZ71">
            <v>0</v>
          </cell>
          <cell r="BC71">
            <v>0</v>
          </cell>
          <cell r="BD71">
            <v>30</v>
          </cell>
          <cell r="BI71">
            <v>30</v>
          </cell>
          <cell r="BK71">
            <v>70</v>
          </cell>
          <cell r="BO71">
            <v>30</v>
          </cell>
          <cell r="BT71">
            <v>50</v>
          </cell>
          <cell r="CA71">
            <v>630</v>
          </cell>
        </row>
        <row r="72">
          <cell r="C72" t="str">
            <v>มันหมูสไลด์</v>
          </cell>
          <cell r="D72">
            <v>0</v>
          </cell>
          <cell r="E72">
            <v>0</v>
          </cell>
          <cell r="H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C72">
            <v>0</v>
          </cell>
          <cell r="AD72">
            <v>0</v>
          </cell>
          <cell r="AF72">
            <v>0</v>
          </cell>
          <cell r="AP72">
            <v>0</v>
          </cell>
          <cell r="AR72">
            <v>0</v>
          </cell>
          <cell r="AT72">
            <v>0</v>
          </cell>
          <cell r="AU72">
            <v>0</v>
          </cell>
          <cell r="AW72">
            <v>0</v>
          </cell>
          <cell r="AX72">
            <v>0</v>
          </cell>
          <cell r="AZ72">
            <v>0</v>
          </cell>
          <cell r="BC72">
            <v>0</v>
          </cell>
          <cell r="BD72">
            <v>0</v>
          </cell>
          <cell r="BI72">
            <v>0</v>
          </cell>
          <cell r="BK72">
            <v>0</v>
          </cell>
          <cell r="BO72">
            <v>0</v>
          </cell>
          <cell r="BT72">
            <v>0</v>
          </cell>
          <cell r="CA72">
            <v>0</v>
          </cell>
        </row>
        <row r="73">
          <cell r="C73" t="str">
            <v>สันคอหมู</v>
          </cell>
          <cell r="D73">
            <v>0</v>
          </cell>
          <cell r="E73">
            <v>0</v>
          </cell>
          <cell r="H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C73">
            <v>0</v>
          </cell>
          <cell r="AD73">
            <v>0</v>
          </cell>
          <cell r="AF73">
            <v>0</v>
          </cell>
          <cell r="AP73">
            <v>0</v>
          </cell>
          <cell r="AR73">
            <v>0</v>
          </cell>
          <cell r="AT73">
            <v>0</v>
          </cell>
          <cell r="AU73">
            <v>0</v>
          </cell>
          <cell r="AW73">
            <v>0</v>
          </cell>
          <cell r="AX73">
            <v>0</v>
          </cell>
          <cell r="AZ73">
            <v>0</v>
          </cell>
          <cell r="BC73">
            <v>0</v>
          </cell>
          <cell r="BD73">
            <v>0</v>
          </cell>
          <cell r="BI73">
            <v>0</v>
          </cell>
          <cell r="BK73">
            <v>0</v>
          </cell>
          <cell r="BO73">
            <v>0</v>
          </cell>
          <cell r="BT73">
            <v>0</v>
          </cell>
          <cell r="CA73">
            <v>0</v>
          </cell>
        </row>
        <row r="74">
          <cell r="C74" t="str">
            <v>ซี่โครงหมูติดเนื้อพิเศษ</v>
          </cell>
          <cell r="D74">
            <v>0</v>
          </cell>
          <cell r="E74">
            <v>0</v>
          </cell>
          <cell r="H74">
            <v>0</v>
          </cell>
          <cell r="L74">
            <v>0</v>
          </cell>
          <cell r="M74">
            <v>0</v>
          </cell>
          <cell r="N74">
            <v>0</v>
          </cell>
          <cell r="P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C74">
            <v>0</v>
          </cell>
          <cell r="AD74">
            <v>0</v>
          </cell>
          <cell r="AF74">
            <v>0</v>
          </cell>
          <cell r="AP74">
            <v>0</v>
          </cell>
          <cell r="AR74">
            <v>0</v>
          </cell>
          <cell r="AT74">
            <v>0</v>
          </cell>
          <cell r="AU74">
            <v>0</v>
          </cell>
          <cell r="AW74">
            <v>0</v>
          </cell>
          <cell r="AX74">
            <v>0</v>
          </cell>
          <cell r="AZ74">
            <v>0</v>
          </cell>
          <cell r="BC74">
            <v>0</v>
          </cell>
          <cell r="BD74">
            <v>0</v>
          </cell>
          <cell r="BI74">
            <v>0</v>
          </cell>
          <cell r="BK74">
            <v>0</v>
          </cell>
          <cell r="BO74">
            <v>0</v>
          </cell>
          <cell r="BT74">
            <v>0</v>
          </cell>
          <cell r="CA74">
            <v>0</v>
          </cell>
        </row>
        <row r="75">
          <cell r="C75" t="str">
            <v>หัวไหล่หมูติดหนังตัดเส้น</v>
          </cell>
          <cell r="D75">
            <v>0</v>
          </cell>
          <cell r="E75">
            <v>0</v>
          </cell>
          <cell r="H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C75">
            <v>0</v>
          </cell>
          <cell r="AD75">
            <v>0</v>
          </cell>
          <cell r="AF75">
            <v>0</v>
          </cell>
          <cell r="AP75">
            <v>0</v>
          </cell>
          <cell r="AR75">
            <v>0</v>
          </cell>
          <cell r="AT75">
            <v>0</v>
          </cell>
          <cell r="AU75">
            <v>0</v>
          </cell>
          <cell r="AW75">
            <v>0</v>
          </cell>
          <cell r="AX75">
            <v>0</v>
          </cell>
          <cell r="AZ75">
            <v>0</v>
          </cell>
          <cell r="BC75">
            <v>0</v>
          </cell>
          <cell r="BD75">
            <v>0</v>
          </cell>
          <cell r="BI75">
            <v>0</v>
          </cell>
          <cell r="BK75">
            <v>0</v>
          </cell>
          <cell r="BO75">
            <v>0</v>
          </cell>
          <cell r="BT75">
            <v>0</v>
          </cell>
          <cell r="CA75">
            <v>0</v>
          </cell>
        </row>
        <row r="76">
          <cell r="C76" t="str">
            <v>เลือดหมูต้ม</v>
          </cell>
          <cell r="D76">
            <v>5</v>
          </cell>
          <cell r="E76">
            <v>0</v>
          </cell>
          <cell r="H76">
            <v>0</v>
          </cell>
          <cell r="L76">
            <v>0</v>
          </cell>
          <cell r="M76">
            <v>0</v>
          </cell>
          <cell r="N76">
            <v>0</v>
          </cell>
          <cell r="P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3</v>
          </cell>
          <cell r="AC76">
            <v>0</v>
          </cell>
          <cell r="AD76">
            <v>0</v>
          </cell>
          <cell r="AF76">
            <v>0</v>
          </cell>
          <cell r="AP76">
            <v>0</v>
          </cell>
          <cell r="AR76">
            <v>0</v>
          </cell>
          <cell r="AT76">
            <v>0</v>
          </cell>
          <cell r="AU76">
            <v>5</v>
          </cell>
          <cell r="AW76">
            <v>0</v>
          </cell>
          <cell r="AX76">
            <v>0</v>
          </cell>
          <cell r="AZ76">
            <v>5</v>
          </cell>
          <cell r="BC76">
            <v>0</v>
          </cell>
          <cell r="BD76">
            <v>0</v>
          </cell>
          <cell r="BI76">
            <v>0</v>
          </cell>
          <cell r="BK76">
            <v>0</v>
          </cell>
          <cell r="BO76">
            <v>0</v>
          </cell>
          <cell r="BT76">
            <v>5</v>
          </cell>
          <cell r="CA76">
            <v>23</v>
          </cell>
        </row>
        <row r="77">
          <cell r="C77" t="str">
            <v>หนังหมูติดมัน</v>
          </cell>
          <cell r="D77">
            <v>0</v>
          </cell>
          <cell r="E77">
            <v>0</v>
          </cell>
          <cell r="H77">
            <v>0</v>
          </cell>
          <cell r="L77">
            <v>0</v>
          </cell>
          <cell r="M77">
            <v>0</v>
          </cell>
          <cell r="N77">
            <v>0</v>
          </cell>
          <cell r="P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C77">
            <v>0</v>
          </cell>
          <cell r="AD77">
            <v>0</v>
          </cell>
          <cell r="AF77">
            <v>0</v>
          </cell>
          <cell r="AP77">
            <v>0</v>
          </cell>
          <cell r="AR77">
            <v>0</v>
          </cell>
          <cell r="AT77">
            <v>0</v>
          </cell>
          <cell r="AU77">
            <v>20</v>
          </cell>
          <cell r="AW77">
            <v>0</v>
          </cell>
          <cell r="AX77">
            <v>0</v>
          </cell>
          <cell r="AZ77">
            <v>0</v>
          </cell>
          <cell r="BC77">
            <v>0</v>
          </cell>
          <cell r="BD77">
            <v>0</v>
          </cell>
          <cell r="BI77">
            <v>0</v>
          </cell>
          <cell r="BK77">
            <v>0</v>
          </cell>
          <cell r="BO77">
            <v>0</v>
          </cell>
          <cell r="BT77">
            <v>0</v>
          </cell>
          <cell r="CA77">
            <v>20</v>
          </cell>
        </row>
        <row r="78">
          <cell r="C78" t="str">
            <v>สันคอตัดชิ้น</v>
          </cell>
          <cell r="D78">
            <v>0</v>
          </cell>
          <cell r="E78">
            <v>0</v>
          </cell>
          <cell r="H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AC78">
            <v>30</v>
          </cell>
          <cell r="AD78">
            <v>0</v>
          </cell>
          <cell r="AF78">
            <v>0</v>
          </cell>
          <cell r="AP78">
            <v>0</v>
          </cell>
          <cell r="AR78">
            <v>0</v>
          </cell>
          <cell r="AT78">
            <v>0</v>
          </cell>
          <cell r="AU78">
            <v>0</v>
          </cell>
          <cell r="AW78">
            <v>0</v>
          </cell>
          <cell r="AX78">
            <v>0</v>
          </cell>
          <cell r="AZ78">
            <v>0</v>
          </cell>
          <cell r="BC78">
            <v>0</v>
          </cell>
          <cell r="BD78">
            <v>0</v>
          </cell>
          <cell r="BI78">
            <v>0</v>
          </cell>
          <cell r="BK78">
            <v>0</v>
          </cell>
          <cell r="BO78">
            <v>40</v>
          </cell>
          <cell r="BT78">
            <v>30</v>
          </cell>
          <cell r="CA78">
            <v>100</v>
          </cell>
        </row>
        <row r="79">
          <cell r="C79" t="str">
            <v>พอร์คชอพ</v>
          </cell>
          <cell r="D79">
            <v>0</v>
          </cell>
          <cell r="E79">
            <v>0</v>
          </cell>
          <cell r="H79">
            <v>0</v>
          </cell>
          <cell r="L79">
            <v>0</v>
          </cell>
          <cell r="M79">
            <v>0</v>
          </cell>
          <cell r="N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C79">
            <v>0</v>
          </cell>
          <cell r="AD79">
            <v>0</v>
          </cell>
          <cell r="AF79">
            <v>0</v>
          </cell>
          <cell r="AP79">
            <v>0</v>
          </cell>
          <cell r="AR79">
            <v>0</v>
          </cell>
          <cell r="AT79">
            <v>0</v>
          </cell>
          <cell r="AU79">
            <v>0</v>
          </cell>
          <cell r="AW79">
            <v>0</v>
          </cell>
          <cell r="AX79">
            <v>0</v>
          </cell>
          <cell r="AZ79">
            <v>0</v>
          </cell>
          <cell r="BC79">
            <v>0</v>
          </cell>
          <cell r="BD79">
            <v>0</v>
          </cell>
          <cell r="BI79">
            <v>0</v>
          </cell>
          <cell r="BK79">
            <v>0</v>
          </cell>
          <cell r="BO79">
            <v>0</v>
          </cell>
          <cell r="BT79">
            <v>0</v>
          </cell>
          <cell r="CA79">
            <v>0</v>
          </cell>
        </row>
        <row r="80">
          <cell r="C80" t="str">
            <v>พอร์คชอพตัดสเต็ก</v>
          </cell>
          <cell r="D80">
            <v>0</v>
          </cell>
          <cell r="E80">
            <v>0</v>
          </cell>
          <cell r="H80">
            <v>10</v>
          </cell>
          <cell r="L80">
            <v>0</v>
          </cell>
          <cell r="M80">
            <v>5</v>
          </cell>
          <cell r="N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5</v>
          </cell>
          <cell r="Y80">
            <v>0</v>
          </cell>
          <cell r="AC80">
            <v>15</v>
          </cell>
          <cell r="AD80">
            <v>0</v>
          </cell>
          <cell r="AF80">
            <v>0</v>
          </cell>
          <cell r="AP80">
            <v>0</v>
          </cell>
          <cell r="AR80">
            <v>0</v>
          </cell>
          <cell r="AT80">
            <v>0</v>
          </cell>
          <cell r="AU80">
            <v>0</v>
          </cell>
          <cell r="AW80">
            <v>15</v>
          </cell>
          <cell r="AX80">
            <v>0</v>
          </cell>
          <cell r="AZ80">
            <v>0</v>
          </cell>
          <cell r="BC80">
            <v>0</v>
          </cell>
          <cell r="BD80">
            <v>0</v>
          </cell>
          <cell r="BI80">
            <v>0</v>
          </cell>
          <cell r="BK80">
            <v>0</v>
          </cell>
          <cell r="BO80">
            <v>0</v>
          </cell>
          <cell r="BT80">
            <v>0</v>
          </cell>
          <cell r="CA80">
            <v>50</v>
          </cell>
        </row>
        <row r="81">
          <cell r="C81" t="str">
            <v>สันนอกตัดสเต็ก</v>
          </cell>
          <cell r="D81">
            <v>0</v>
          </cell>
          <cell r="E81">
            <v>0</v>
          </cell>
          <cell r="H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C81">
            <v>0</v>
          </cell>
          <cell r="AD81">
            <v>0</v>
          </cell>
          <cell r="AF81">
            <v>0</v>
          </cell>
          <cell r="AP81">
            <v>0</v>
          </cell>
          <cell r="AR81">
            <v>0</v>
          </cell>
          <cell r="AT81">
            <v>0</v>
          </cell>
          <cell r="AU81">
            <v>0</v>
          </cell>
          <cell r="AW81">
            <v>0</v>
          </cell>
          <cell r="AX81">
            <v>0</v>
          </cell>
          <cell r="AZ81">
            <v>0</v>
          </cell>
          <cell r="BC81">
            <v>0</v>
          </cell>
          <cell r="BD81">
            <v>0</v>
          </cell>
          <cell r="BI81">
            <v>0</v>
          </cell>
          <cell r="BK81">
            <v>0</v>
          </cell>
          <cell r="BO81">
            <v>0</v>
          </cell>
          <cell r="BT81">
            <v>0</v>
          </cell>
          <cell r="CA81">
            <v>0</v>
          </cell>
        </row>
        <row r="82">
          <cell r="C82" t="str">
            <v>มันหมูบด</v>
          </cell>
          <cell r="D82">
            <v>0</v>
          </cell>
          <cell r="E82">
            <v>0</v>
          </cell>
          <cell r="H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C82">
            <v>0</v>
          </cell>
          <cell r="AD82">
            <v>0</v>
          </cell>
          <cell r="AF82">
            <v>0</v>
          </cell>
          <cell r="AP82">
            <v>0</v>
          </cell>
          <cell r="AR82">
            <v>0</v>
          </cell>
          <cell r="AT82">
            <v>0</v>
          </cell>
          <cell r="AU82">
            <v>0</v>
          </cell>
          <cell r="AW82">
            <v>0</v>
          </cell>
          <cell r="AX82">
            <v>0</v>
          </cell>
          <cell r="AZ82">
            <v>0</v>
          </cell>
          <cell r="BC82">
            <v>0</v>
          </cell>
          <cell r="BD82">
            <v>0</v>
          </cell>
          <cell r="BI82">
            <v>0</v>
          </cell>
          <cell r="BK82">
            <v>0</v>
          </cell>
          <cell r="BO82">
            <v>0</v>
          </cell>
          <cell r="BT82">
            <v>0</v>
          </cell>
          <cell r="CA82">
            <v>0</v>
          </cell>
        </row>
        <row r="83">
          <cell r="C83" t="str">
            <v xml:space="preserve">ขาหมูหั่นชิ้น </v>
          </cell>
          <cell r="D83">
            <v>0</v>
          </cell>
          <cell r="E83">
            <v>0</v>
          </cell>
          <cell r="H83">
            <v>0</v>
          </cell>
          <cell r="L83">
            <v>0</v>
          </cell>
          <cell r="M83">
            <v>15</v>
          </cell>
          <cell r="N83">
            <v>0</v>
          </cell>
          <cell r="P83">
            <v>0</v>
          </cell>
          <cell r="T83">
            <v>0</v>
          </cell>
          <cell r="U83">
            <v>0</v>
          </cell>
          <cell r="V83">
            <v>0</v>
          </cell>
          <cell r="W83">
            <v>30</v>
          </cell>
          <cell r="X83">
            <v>0</v>
          </cell>
          <cell r="Y83">
            <v>0</v>
          </cell>
          <cell r="AC83">
            <v>20</v>
          </cell>
          <cell r="AD83">
            <v>0</v>
          </cell>
          <cell r="AF83">
            <v>0</v>
          </cell>
          <cell r="AP83">
            <v>0</v>
          </cell>
          <cell r="AR83">
            <v>15</v>
          </cell>
          <cell r="AT83">
            <v>0</v>
          </cell>
          <cell r="AU83">
            <v>0</v>
          </cell>
          <cell r="AW83">
            <v>0</v>
          </cell>
          <cell r="AX83">
            <v>30</v>
          </cell>
          <cell r="AZ83">
            <v>0</v>
          </cell>
          <cell r="BC83">
            <v>0</v>
          </cell>
          <cell r="BD83">
            <v>0</v>
          </cell>
          <cell r="BI83">
            <v>0</v>
          </cell>
          <cell r="BK83">
            <v>0</v>
          </cell>
          <cell r="BO83">
            <v>0</v>
          </cell>
          <cell r="BT83">
            <v>0</v>
          </cell>
          <cell r="CA83">
            <v>110</v>
          </cell>
        </row>
        <row r="84">
          <cell r="C84" t="str">
            <v>สามชั้นหั่นพะโล้</v>
          </cell>
          <cell r="D84">
            <v>0</v>
          </cell>
          <cell r="E84">
            <v>0</v>
          </cell>
          <cell r="H84">
            <v>0</v>
          </cell>
          <cell r="L84">
            <v>0</v>
          </cell>
          <cell r="M84">
            <v>0</v>
          </cell>
          <cell r="N84">
            <v>5</v>
          </cell>
          <cell r="P84">
            <v>5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0</v>
          </cell>
          <cell r="Y84">
            <v>0</v>
          </cell>
          <cell r="AC84">
            <v>0</v>
          </cell>
          <cell r="AD84">
            <v>0</v>
          </cell>
          <cell r="AF84">
            <v>0</v>
          </cell>
          <cell r="AP84">
            <v>0</v>
          </cell>
          <cell r="AR84">
            <v>5</v>
          </cell>
          <cell r="AT84">
            <v>0</v>
          </cell>
          <cell r="AU84">
            <v>5</v>
          </cell>
          <cell r="AW84">
            <v>0</v>
          </cell>
          <cell r="AX84">
            <v>0</v>
          </cell>
          <cell r="AZ84">
            <v>0</v>
          </cell>
          <cell r="BC84">
            <v>0</v>
          </cell>
          <cell r="BD84">
            <v>0</v>
          </cell>
          <cell r="BI84">
            <v>0</v>
          </cell>
          <cell r="BK84">
            <v>0</v>
          </cell>
          <cell r="BO84">
            <v>0</v>
          </cell>
          <cell r="BT84">
            <v>0</v>
          </cell>
          <cell r="CA84">
            <v>25</v>
          </cell>
        </row>
        <row r="85">
          <cell r="C85" t="str">
            <v>หัวไหล่ตัดชิ้น</v>
          </cell>
          <cell r="D85">
            <v>0</v>
          </cell>
          <cell r="E85">
            <v>0</v>
          </cell>
          <cell r="H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C85">
            <v>0</v>
          </cell>
          <cell r="AD85">
            <v>100</v>
          </cell>
          <cell r="AF85">
            <v>0</v>
          </cell>
          <cell r="AP85">
            <v>0</v>
          </cell>
          <cell r="AR85">
            <v>0</v>
          </cell>
          <cell r="AT85">
            <v>0</v>
          </cell>
          <cell r="AU85">
            <v>0</v>
          </cell>
          <cell r="AW85">
            <v>0</v>
          </cell>
          <cell r="AX85">
            <v>0</v>
          </cell>
          <cell r="AZ85">
            <v>0</v>
          </cell>
          <cell r="BC85">
            <v>0</v>
          </cell>
          <cell r="BD85">
            <v>0</v>
          </cell>
          <cell r="BI85">
            <v>0</v>
          </cell>
          <cell r="BK85">
            <v>0</v>
          </cell>
          <cell r="BO85">
            <v>40</v>
          </cell>
          <cell r="BT85">
            <v>0</v>
          </cell>
          <cell r="CA85">
            <v>140</v>
          </cell>
        </row>
        <row r="86">
          <cell r="C86" t="str">
            <v>สันนอกตัดชาย</v>
          </cell>
          <cell r="D86">
            <v>0</v>
          </cell>
          <cell r="E86">
            <v>0</v>
          </cell>
          <cell r="H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C86">
            <v>0</v>
          </cell>
          <cell r="AD86">
            <v>0</v>
          </cell>
          <cell r="AF86">
            <v>0</v>
          </cell>
          <cell r="AP86">
            <v>0</v>
          </cell>
          <cell r="AR86">
            <v>0</v>
          </cell>
          <cell r="AT86">
            <v>0</v>
          </cell>
          <cell r="AU86">
            <v>0</v>
          </cell>
          <cell r="AW86">
            <v>0</v>
          </cell>
          <cell r="AX86">
            <v>0</v>
          </cell>
          <cell r="AZ86">
            <v>0</v>
          </cell>
          <cell r="BC86">
            <v>0</v>
          </cell>
          <cell r="BD86">
            <v>0</v>
          </cell>
          <cell r="BI86">
            <v>0</v>
          </cell>
          <cell r="BK86">
            <v>0</v>
          </cell>
          <cell r="BO86">
            <v>0</v>
          </cell>
          <cell r="BT86">
            <v>0</v>
          </cell>
          <cell r="CA86">
            <v>0</v>
          </cell>
        </row>
        <row r="87">
          <cell r="C87" t="str">
            <v>หูหมูสด</v>
          </cell>
          <cell r="D87">
            <v>0</v>
          </cell>
          <cell r="E87">
            <v>0</v>
          </cell>
          <cell r="H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C87">
            <v>0</v>
          </cell>
          <cell r="AD87">
            <v>50</v>
          </cell>
          <cell r="AF87">
            <v>0</v>
          </cell>
          <cell r="AP87">
            <v>0</v>
          </cell>
          <cell r="AR87">
            <v>0</v>
          </cell>
          <cell r="AT87">
            <v>0</v>
          </cell>
          <cell r="AU87">
            <v>0</v>
          </cell>
          <cell r="AW87">
            <v>0</v>
          </cell>
          <cell r="AX87">
            <v>0</v>
          </cell>
          <cell r="AZ87">
            <v>0</v>
          </cell>
          <cell r="BC87">
            <v>0</v>
          </cell>
          <cell r="BD87">
            <v>0</v>
          </cell>
          <cell r="BI87">
            <v>0</v>
          </cell>
          <cell r="BK87">
            <v>0</v>
          </cell>
          <cell r="BO87">
            <v>0</v>
          </cell>
          <cell r="BT87">
            <v>0</v>
          </cell>
          <cell r="CA87">
            <v>50</v>
          </cell>
          <cell r="CH87" t="str">
            <v xml:space="preserve"> </v>
          </cell>
        </row>
        <row r="88">
          <cell r="C88" t="str">
            <v>ขาหน้าหมูตัดแบ่งคากิ</v>
          </cell>
          <cell r="D88">
            <v>0</v>
          </cell>
          <cell r="E88">
            <v>0</v>
          </cell>
          <cell r="H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C88">
            <v>0</v>
          </cell>
          <cell r="AD88">
            <v>0</v>
          </cell>
          <cell r="AF88">
            <v>25</v>
          </cell>
          <cell r="AP88">
            <v>0</v>
          </cell>
          <cell r="AR88">
            <v>0</v>
          </cell>
          <cell r="AT88">
            <v>0</v>
          </cell>
          <cell r="AU88">
            <v>0</v>
          </cell>
          <cell r="AW88">
            <v>0</v>
          </cell>
          <cell r="AX88">
            <v>0</v>
          </cell>
          <cell r="AZ88">
            <v>0</v>
          </cell>
          <cell r="BC88">
            <v>25</v>
          </cell>
          <cell r="BD88">
            <v>0</v>
          </cell>
          <cell r="BI88">
            <v>0</v>
          </cell>
          <cell r="BK88">
            <v>0</v>
          </cell>
          <cell r="BO88">
            <v>0</v>
          </cell>
          <cell r="BT88">
            <v>0</v>
          </cell>
          <cell r="CA88">
            <v>50</v>
          </cell>
        </row>
        <row r="89">
          <cell r="C89" t="str">
            <v>ขาหลังหมูตัดแบ่งคากิ</v>
          </cell>
          <cell r="D89">
            <v>0</v>
          </cell>
          <cell r="E89">
            <v>0</v>
          </cell>
          <cell r="H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100</v>
          </cell>
          <cell r="Y89">
            <v>0</v>
          </cell>
          <cell r="AC89">
            <v>0</v>
          </cell>
          <cell r="AD89">
            <v>0</v>
          </cell>
          <cell r="AF89">
            <v>0</v>
          </cell>
          <cell r="AP89">
            <v>0</v>
          </cell>
          <cell r="AR89">
            <v>0</v>
          </cell>
          <cell r="AT89">
            <v>0</v>
          </cell>
          <cell r="AU89">
            <v>0</v>
          </cell>
          <cell r="AW89">
            <v>0</v>
          </cell>
          <cell r="AX89">
            <v>0</v>
          </cell>
          <cell r="AZ89">
            <v>0</v>
          </cell>
          <cell r="BC89">
            <v>0</v>
          </cell>
          <cell r="BD89">
            <v>0</v>
          </cell>
          <cell r="BI89">
            <v>0</v>
          </cell>
          <cell r="BK89">
            <v>0</v>
          </cell>
          <cell r="BO89">
            <v>0</v>
          </cell>
          <cell r="BT89">
            <v>0</v>
          </cell>
          <cell r="CA89">
            <v>100</v>
          </cell>
        </row>
        <row r="90">
          <cell r="C90" t="str">
            <v>ขาหมูเยอรมัน(ขาหน้า)</v>
          </cell>
          <cell r="D90">
            <v>0</v>
          </cell>
          <cell r="E90">
            <v>0</v>
          </cell>
          <cell r="H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C90">
            <v>0</v>
          </cell>
          <cell r="AD90">
            <v>0</v>
          </cell>
          <cell r="AF90">
            <v>0</v>
          </cell>
          <cell r="AP90">
            <v>0</v>
          </cell>
          <cell r="AR90">
            <v>0</v>
          </cell>
          <cell r="AT90">
            <v>0</v>
          </cell>
          <cell r="AU90">
            <v>0</v>
          </cell>
          <cell r="AW90">
            <v>0</v>
          </cell>
          <cell r="AX90">
            <v>0</v>
          </cell>
          <cell r="AZ90">
            <v>0</v>
          </cell>
          <cell r="BC90">
            <v>0</v>
          </cell>
          <cell r="BD90">
            <v>0</v>
          </cell>
          <cell r="BI90">
            <v>0</v>
          </cell>
          <cell r="BK90">
            <v>0</v>
          </cell>
          <cell r="BO90">
            <v>0</v>
          </cell>
          <cell r="BT90">
            <v>0</v>
          </cell>
          <cell r="CA90">
            <v>0</v>
          </cell>
        </row>
        <row r="91">
          <cell r="C91" t="str">
            <v>สามชั้นหั่นแกง</v>
          </cell>
          <cell r="D91">
            <v>0</v>
          </cell>
          <cell r="E91">
            <v>0</v>
          </cell>
          <cell r="H91">
            <v>0</v>
          </cell>
          <cell r="L91">
            <v>0</v>
          </cell>
          <cell r="M91">
            <v>0</v>
          </cell>
          <cell r="N91">
            <v>5</v>
          </cell>
          <cell r="P91">
            <v>0</v>
          </cell>
          <cell r="T91">
            <v>0</v>
          </cell>
          <cell r="U91">
            <v>10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AC91">
            <v>0</v>
          </cell>
          <cell r="AD91">
            <v>0</v>
          </cell>
          <cell r="AF91">
            <v>0</v>
          </cell>
          <cell r="AP91">
            <v>0</v>
          </cell>
          <cell r="AR91">
            <v>0</v>
          </cell>
          <cell r="AT91">
            <v>0</v>
          </cell>
          <cell r="AU91">
            <v>0</v>
          </cell>
          <cell r="AW91">
            <v>5</v>
          </cell>
          <cell r="AX91">
            <v>0</v>
          </cell>
          <cell r="AZ91">
            <v>0</v>
          </cell>
          <cell r="BC91">
            <v>0</v>
          </cell>
          <cell r="BD91">
            <v>0</v>
          </cell>
          <cell r="BI91">
            <v>0</v>
          </cell>
          <cell r="BK91">
            <v>0</v>
          </cell>
          <cell r="BO91">
            <v>0</v>
          </cell>
          <cell r="BT91">
            <v>0</v>
          </cell>
          <cell r="CA91">
            <v>20</v>
          </cell>
        </row>
        <row r="92">
          <cell r="C92" t="str">
            <v>สามชั้นติดกระดูก</v>
          </cell>
          <cell r="D92">
            <v>0</v>
          </cell>
          <cell r="E92">
            <v>0</v>
          </cell>
          <cell r="H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C92">
            <v>0</v>
          </cell>
          <cell r="AD92">
            <v>0</v>
          </cell>
          <cell r="AF92">
            <v>0</v>
          </cell>
          <cell r="AP92">
            <v>0</v>
          </cell>
          <cell r="AR92">
            <v>0</v>
          </cell>
          <cell r="AT92">
            <v>0</v>
          </cell>
          <cell r="AU92">
            <v>0</v>
          </cell>
          <cell r="AW92">
            <v>0</v>
          </cell>
          <cell r="AX92">
            <v>0</v>
          </cell>
          <cell r="AZ92">
            <v>0</v>
          </cell>
          <cell r="BC92">
            <v>0</v>
          </cell>
          <cell r="BD92">
            <v>0</v>
          </cell>
          <cell r="BI92">
            <v>0</v>
          </cell>
          <cell r="BK92">
            <v>0</v>
          </cell>
          <cell r="BO92">
            <v>0</v>
          </cell>
          <cell r="BT92">
            <v>0</v>
          </cell>
          <cell r="CA92">
            <v>0</v>
          </cell>
        </row>
        <row r="93">
          <cell r="C93" t="str">
            <v>สามชั้นตัดชิ้น</v>
          </cell>
          <cell r="D93">
            <v>0</v>
          </cell>
          <cell r="E93">
            <v>0</v>
          </cell>
          <cell r="H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AC93">
            <v>0</v>
          </cell>
          <cell r="AD93">
            <v>0</v>
          </cell>
          <cell r="AF93">
            <v>0</v>
          </cell>
          <cell r="AP93">
            <v>0</v>
          </cell>
          <cell r="AR93">
            <v>0</v>
          </cell>
          <cell r="AT93">
            <v>0</v>
          </cell>
          <cell r="AU93">
            <v>0</v>
          </cell>
          <cell r="AW93">
            <v>0</v>
          </cell>
          <cell r="AX93">
            <v>0</v>
          </cell>
          <cell r="AZ93">
            <v>0</v>
          </cell>
          <cell r="BC93">
            <v>0</v>
          </cell>
          <cell r="BD93">
            <v>0</v>
          </cell>
          <cell r="BI93">
            <v>0</v>
          </cell>
          <cell r="BK93">
            <v>0</v>
          </cell>
          <cell r="BO93">
            <v>0</v>
          </cell>
          <cell r="BT93">
            <v>0</v>
          </cell>
          <cell r="CA93">
            <v>0</v>
          </cell>
        </row>
        <row r="94">
          <cell r="C94" t="str">
            <v>หมูบดผสมมัน 50%</v>
          </cell>
          <cell r="D94">
            <v>0</v>
          </cell>
          <cell r="E94">
            <v>0</v>
          </cell>
          <cell r="H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C94">
            <v>0</v>
          </cell>
          <cell r="AD94">
            <v>0</v>
          </cell>
          <cell r="AF94">
            <v>0</v>
          </cell>
          <cell r="AP94">
            <v>0</v>
          </cell>
          <cell r="AR94">
            <v>0</v>
          </cell>
          <cell r="AT94">
            <v>0</v>
          </cell>
          <cell r="AU94">
            <v>0</v>
          </cell>
          <cell r="AW94">
            <v>0</v>
          </cell>
          <cell r="AX94">
            <v>0</v>
          </cell>
          <cell r="AZ94">
            <v>0</v>
          </cell>
          <cell r="BC94">
            <v>0</v>
          </cell>
          <cell r="BD94">
            <v>0</v>
          </cell>
          <cell r="BI94">
            <v>0</v>
          </cell>
          <cell r="BK94">
            <v>0</v>
          </cell>
          <cell r="BO94">
            <v>0</v>
          </cell>
          <cell r="BT94">
            <v>0</v>
          </cell>
          <cell r="CA94">
            <v>0</v>
          </cell>
        </row>
        <row r="95">
          <cell r="C95" t="str">
            <v>ซี่โครงหมูตัดแต่งพิเศษ</v>
          </cell>
          <cell r="D95">
            <v>0</v>
          </cell>
          <cell r="E95">
            <v>0</v>
          </cell>
          <cell r="H95">
            <v>0</v>
          </cell>
          <cell r="L95">
            <v>0</v>
          </cell>
          <cell r="M95">
            <v>0</v>
          </cell>
          <cell r="N95">
            <v>0</v>
          </cell>
          <cell r="P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C95">
            <v>0</v>
          </cell>
          <cell r="AD95">
            <v>0</v>
          </cell>
          <cell r="AF95">
            <v>0</v>
          </cell>
          <cell r="AP95">
            <v>0</v>
          </cell>
          <cell r="AR95">
            <v>0</v>
          </cell>
          <cell r="AT95">
            <v>0</v>
          </cell>
          <cell r="AU95">
            <v>0</v>
          </cell>
          <cell r="AW95">
            <v>0</v>
          </cell>
          <cell r="AX95">
            <v>60</v>
          </cell>
          <cell r="AZ95">
            <v>0</v>
          </cell>
          <cell r="BC95">
            <v>0</v>
          </cell>
          <cell r="BD95">
            <v>0</v>
          </cell>
          <cell r="BI95">
            <v>0</v>
          </cell>
          <cell r="BK95">
            <v>0</v>
          </cell>
          <cell r="BO95">
            <v>0</v>
          </cell>
          <cell r="BT95">
            <v>0</v>
          </cell>
          <cell r="CA95">
            <v>60</v>
          </cell>
        </row>
        <row r="96">
          <cell r="C96" t="str">
            <v>หัวไหล่หมูแดดเดียว</v>
          </cell>
          <cell r="D96">
            <v>0</v>
          </cell>
          <cell r="E96">
            <v>0</v>
          </cell>
          <cell r="H96">
            <v>0</v>
          </cell>
          <cell r="L96">
            <v>0</v>
          </cell>
          <cell r="M96">
            <v>0</v>
          </cell>
          <cell r="N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30</v>
          </cell>
          <cell r="Y96">
            <v>0</v>
          </cell>
          <cell r="AC96">
            <v>40</v>
          </cell>
          <cell r="AD96">
            <v>0</v>
          </cell>
          <cell r="AF96">
            <v>0</v>
          </cell>
          <cell r="AP96">
            <v>0</v>
          </cell>
          <cell r="AR96">
            <v>0</v>
          </cell>
          <cell r="AT96">
            <v>0</v>
          </cell>
          <cell r="AU96">
            <v>0</v>
          </cell>
          <cell r="AW96">
            <v>0</v>
          </cell>
          <cell r="AX96">
            <v>0</v>
          </cell>
          <cell r="AZ96">
            <v>0</v>
          </cell>
          <cell r="BC96">
            <v>0</v>
          </cell>
          <cell r="BD96">
            <v>0</v>
          </cell>
          <cell r="BI96">
            <v>0</v>
          </cell>
          <cell r="BK96">
            <v>0</v>
          </cell>
          <cell r="BO96">
            <v>0</v>
          </cell>
          <cell r="BT96">
            <v>0</v>
          </cell>
          <cell r="CA96">
            <v>70</v>
          </cell>
        </row>
        <row r="97">
          <cell r="C97" t="str">
            <v>สะโพกหมูแดดเดียว</v>
          </cell>
          <cell r="D97">
            <v>0</v>
          </cell>
          <cell r="E97">
            <v>0</v>
          </cell>
          <cell r="H97">
            <v>0</v>
          </cell>
          <cell r="L97">
            <v>0</v>
          </cell>
          <cell r="M97">
            <v>5</v>
          </cell>
          <cell r="N97">
            <v>0</v>
          </cell>
          <cell r="P97">
            <v>5</v>
          </cell>
          <cell r="T97">
            <v>0</v>
          </cell>
          <cell r="U97">
            <v>5</v>
          </cell>
          <cell r="V97">
            <v>0</v>
          </cell>
          <cell r="W97">
            <v>0</v>
          </cell>
          <cell r="X97">
            <v>5</v>
          </cell>
          <cell r="Y97">
            <v>0</v>
          </cell>
          <cell r="AC97">
            <v>0</v>
          </cell>
          <cell r="AD97">
            <v>0</v>
          </cell>
          <cell r="AF97">
            <v>0</v>
          </cell>
          <cell r="AP97">
            <v>0</v>
          </cell>
          <cell r="AR97">
            <v>5</v>
          </cell>
          <cell r="AT97">
            <v>0</v>
          </cell>
          <cell r="AU97">
            <v>0</v>
          </cell>
          <cell r="AW97">
            <v>30</v>
          </cell>
          <cell r="AX97">
            <v>0</v>
          </cell>
          <cell r="AZ97">
            <v>0</v>
          </cell>
          <cell r="BC97">
            <v>0</v>
          </cell>
          <cell r="BD97">
            <v>0</v>
          </cell>
          <cell r="BI97">
            <v>0</v>
          </cell>
          <cell r="BK97">
            <v>0</v>
          </cell>
          <cell r="BO97">
            <v>0</v>
          </cell>
          <cell r="BT97">
            <v>0</v>
          </cell>
          <cell r="CA97">
            <v>55</v>
          </cell>
        </row>
        <row r="98">
          <cell r="C98" t="str">
            <v>สามชั้นตัดแต่งพิเศษ</v>
          </cell>
          <cell r="D98">
            <v>0</v>
          </cell>
          <cell r="E98">
            <v>0</v>
          </cell>
          <cell r="H98">
            <v>0</v>
          </cell>
          <cell r="L98">
            <v>0</v>
          </cell>
          <cell r="M98">
            <v>0</v>
          </cell>
          <cell r="N98">
            <v>0</v>
          </cell>
          <cell r="P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C98">
            <v>0</v>
          </cell>
          <cell r="AD98">
            <v>0</v>
          </cell>
          <cell r="AF98">
            <v>0</v>
          </cell>
          <cell r="AP98">
            <v>0</v>
          </cell>
          <cell r="AR98">
            <v>0</v>
          </cell>
          <cell r="AT98">
            <v>0</v>
          </cell>
          <cell r="AU98">
            <v>0</v>
          </cell>
          <cell r="AW98">
            <v>0</v>
          </cell>
          <cell r="AX98">
            <v>0</v>
          </cell>
          <cell r="AZ98">
            <v>0</v>
          </cell>
          <cell r="BC98">
            <v>0</v>
          </cell>
          <cell r="BD98">
            <v>0</v>
          </cell>
          <cell r="BI98">
            <v>0</v>
          </cell>
          <cell r="BK98">
            <v>0</v>
          </cell>
          <cell r="BO98">
            <v>0</v>
          </cell>
          <cell r="BT98">
            <v>0</v>
          </cell>
          <cell r="CA98">
            <v>0</v>
          </cell>
        </row>
        <row r="99">
          <cell r="C99" t="str">
            <v>สามชั้นหมูลอกหนัง</v>
          </cell>
          <cell r="D99">
            <v>0</v>
          </cell>
          <cell r="E99">
            <v>0</v>
          </cell>
          <cell r="H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AC99">
            <v>0</v>
          </cell>
          <cell r="AD99">
            <v>0</v>
          </cell>
          <cell r="AF99">
            <v>0</v>
          </cell>
          <cell r="AP99">
            <v>0</v>
          </cell>
          <cell r="AR99">
            <v>0</v>
          </cell>
          <cell r="AT99">
            <v>0</v>
          </cell>
          <cell r="AU99">
            <v>0</v>
          </cell>
          <cell r="AW99">
            <v>0</v>
          </cell>
          <cell r="AX99">
            <v>0</v>
          </cell>
          <cell r="AZ99">
            <v>0</v>
          </cell>
          <cell r="BC99">
            <v>0</v>
          </cell>
          <cell r="BD99">
            <v>0</v>
          </cell>
          <cell r="BI99">
            <v>0</v>
          </cell>
          <cell r="BK99">
            <v>0</v>
          </cell>
          <cell r="BO99">
            <v>0</v>
          </cell>
          <cell r="BT99">
            <v>0</v>
          </cell>
          <cell r="CA99">
            <v>0</v>
          </cell>
        </row>
        <row r="100">
          <cell r="C100" t="str">
            <v>ไส้สุด</v>
          </cell>
          <cell r="D100">
            <v>0</v>
          </cell>
          <cell r="E100">
            <v>0</v>
          </cell>
          <cell r="H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AC100">
            <v>0</v>
          </cell>
          <cell r="AD100">
            <v>0</v>
          </cell>
          <cell r="AF100">
            <v>0</v>
          </cell>
          <cell r="AP100">
            <v>0</v>
          </cell>
          <cell r="AR100">
            <v>0</v>
          </cell>
          <cell r="AT100">
            <v>10</v>
          </cell>
          <cell r="AU100">
            <v>0</v>
          </cell>
          <cell r="AW100">
            <v>0</v>
          </cell>
          <cell r="AX100">
            <v>0</v>
          </cell>
          <cell r="AZ100">
            <v>0</v>
          </cell>
          <cell r="BC100">
            <v>0</v>
          </cell>
          <cell r="BD100">
            <v>0</v>
          </cell>
          <cell r="BI100">
            <v>0</v>
          </cell>
          <cell r="BK100">
            <v>0</v>
          </cell>
          <cell r="BO100">
            <v>0</v>
          </cell>
          <cell r="BT100">
            <v>0</v>
          </cell>
          <cell r="CA100">
            <v>10</v>
          </cell>
        </row>
        <row r="101">
          <cell r="C101" t="str">
            <v>หัวไหล่หมูTT</v>
          </cell>
          <cell r="D101">
            <v>0</v>
          </cell>
          <cell r="E101">
            <v>0</v>
          </cell>
          <cell r="H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AC101">
            <v>0</v>
          </cell>
          <cell r="AD101">
            <v>0</v>
          </cell>
          <cell r="AF101">
            <v>0</v>
          </cell>
          <cell r="AP101">
            <v>0</v>
          </cell>
          <cell r="AR101">
            <v>0</v>
          </cell>
          <cell r="AT101">
            <v>0</v>
          </cell>
          <cell r="AU101">
            <v>0</v>
          </cell>
          <cell r="AW101">
            <v>0</v>
          </cell>
          <cell r="AX101">
            <v>0</v>
          </cell>
          <cell r="AZ101">
            <v>0</v>
          </cell>
          <cell r="BC101">
            <v>0</v>
          </cell>
          <cell r="BD101">
            <v>0</v>
          </cell>
          <cell r="BI101">
            <v>0</v>
          </cell>
          <cell r="BK101">
            <v>0</v>
          </cell>
          <cell r="BO101">
            <v>0</v>
          </cell>
          <cell r="BT101">
            <v>0</v>
          </cell>
          <cell r="CA101">
            <v>0</v>
          </cell>
        </row>
        <row r="102">
          <cell r="C102" t="str">
            <v>สันคอหมูTT</v>
          </cell>
          <cell r="D102">
            <v>0</v>
          </cell>
          <cell r="E102">
            <v>0</v>
          </cell>
          <cell r="H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AC102">
            <v>0</v>
          </cell>
          <cell r="AD102">
            <v>0</v>
          </cell>
          <cell r="AF102">
            <v>0</v>
          </cell>
          <cell r="AP102">
            <v>0</v>
          </cell>
          <cell r="AR102">
            <v>0</v>
          </cell>
          <cell r="AT102">
            <v>0</v>
          </cell>
          <cell r="AU102">
            <v>0</v>
          </cell>
          <cell r="AW102">
            <v>0</v>
          </cell>
          <cell r="AX102">
            <v>0</v>
          </cell>
          <cell r="AZ102">
            <v>0</v>
          </cell>
          <cell r="BC102">
            <v>0</v>
          </cell>
          <cell r="BD102">
            <v>0</v>
          </cell>
          <cell r="BI102">
            <v>0</v>
          </cell>
          <cell r="BK102">
            <v>0</v>
          </cell>
          <cell r="BO102">
            <v>0</v>
          </cell>
          <cell r="BT102">
            <v>0</v>
          </cell>
          <cell r="CA102">
            <v>0</v>
          </cell>
        </row>
        <row r="103">
          <cell r="C103" t="str">
            <v>สะโพกหมูTT</v>
          </cell>
          <cell r="D103">
            <v>0</v>
          </cell>
          <cell r="E103">
            <v>0</v>
          </cell>
          <cell r="H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AC103">
            <v>0</v>
          </cell>
          <cell r="AD103">
            <v>0</v>
          </cell>
          <cell r="AF103">
            <v>0</v>
          </cell>
          <cell r="AP103">
            <v>0</v>
          </cell>
          <cell r="AR103">
            <v>0</v>
          </cell>
          <cell r="AT103">
            <v>0</v>
          </cell>
          <cell r="AU103">
            <v>0</v>
          </cell>
          <cell r="AW103">
            <v>0</v>
          </cell>
          <cell r="AX103">
            <v>0</v>
          </cell>
          <cell r="AZ103">
            <v>0</v>
          </cell>
          <cell r="BC103">
            <v>0</v>
          </cell>
          <cell r="BD103">
            <v>0</v>
          </cell>
          <cell r="BI103">
            <v>0</v>
          </cell>
          <cell r="BK103">
            <v>0</v>
          </cell>
          <cell r="BO103">
            <v>0</v>
          </cell>
          <cell r="BT103">
            <v>0</v>
          </cell>
          <cell r="CA103">
            <v>0</v>
          </cell>
        </row>
        <row r="104">
          <cell r="C104" t="str">
            <v>สามชั้นหมูTT</v>
          </cell>
          <cell r="D104">
            <v>0</v>
          </cell>
          <cell r="E104">
            <v>0</v>
          </cell>
          <cell r="H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AC104">
            <v>0</v>
          </cell>
          <cell r="AD104">
            <v>0</v>
          </cell>
          <cell r="AF104">
            <v>0</v>
          </cell>
          <cell r="AP104">
            <v>0</v>
          </cell>
          <cell r="AR104">
            <v>0</v>
          </cell>
          <cell r="AT104">
            <v>0</v>
          </cell>
          <cell r="AU104">
            <v>0</v>
          </cell>
          <cell r="AW104">
            <v>0</v>
          </cell>
          <cell r="AX104">
            <v>0</v>
          </cell>
          <cell r="AZ104">
            <v>0</v>
          </cell>
          <cell r="BC104">
            <v>0</v>
          </cell>
          <cell r="BD104">
            <v>0</v>
          </cell>
          <cell r="BI104">
            <v>0</v>
          </cell>
          <cell r="BK104">
            <v>0</v>
          </cell>
          <cell r="BO104">
            <v>0</v>
          </cell>
          <cell r="BT104">
            <v>0</v>
          </cell>
          <cell r="CA104">
            <v>0</v>
          </cell>
        </row>
        <row r="105">
          <cell r="C105" t="str">
            <v>สันนอกTT</v>
          </cell>
          <cell r="D105">
            <v>0</v>
          </cell>
          <cell r="E105">
            <v>0</v>
          </cell>
          <cell r="H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AC105">
            <v>0</v>
          </cell>
          <cell r="AD105">
            <v>0</v>
          </cell>
          <cell r="AF105">
            <v>0</v>
          </cell>
          <cell r="AP105">
            <v>0</v>
          </cell>
          <cell r="AR105">
            <v>0</v>
          </cell>
          <cell r="AT105">
            <v>0</v>
          </cell>
          <cell r="AU105">
            <v>0</v>
          </cell>
          <cell r="AW105">
            <v>0</v>
          </cell>
          <cell r="AX105">
            <v>0</v>
          </cell>
          <cell r="AZ105">
            <v>0</v>
          </cell>
          <cell r="BC105">
            <v>0</v>
          </cell>
          <cell r="BD105">
            <v>0</v>
          </cell>
          <cell r="BI105">
            <v>0</v>
          </cell>
          <cell r="BK105">
            <v>0</v>
          </cell>
          <cell r="BO105">
            <v>0</v>
          </cell>
          <cell r="BT105">
            <v>0</v>
          </cell>
          <cell r="CA105">
            <v>0</v>
          </cell>
        </row>
        <row r="106">
          <cell r="C106" t="str">
            <v>ซี่โครงหมูไม่เต็มแผ่น</v>
          </cell>
          <cell r="D106">
            <v>0</v>
          </cell>
          <cell r="E106">
            <v>0</v>
          </cell>
          <cell r="H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AC106">
            <v>0</v>
          </cell>
          <cell r="AD106">
            <v>0</v>
          </cell>
          <cell r="AF106">
            <v>0</v>
          </cell>
          <cell r="AP106">
            <v>0</v>
          </cell>
          <cell r="AR106">
            <v>0</v>
          </cell>
          <cell r="AT106">
            <v>0</v>
          </cell>
          <cell r="AU106">
            <v>0</v>
          </cell>
          <cell r="AW106">
            <v>0</v>
          </cell>
          <cell r="AX106">
            <v>0</v>
          </cell>
          <cell r="AZ106">
            <v>0</v>
          </cell>
          <cell r="BC106">
            <v>0</v>
          </cell>
          <cell r="BD106">
            <v>0</v>
          </cell>
          <cell r="BI106">
            <v>0</v>
          </cell>
          <cell r="BK106">
            <v>0</v>
          </cell>
          <cell r="BO106">
            <v>0</v>
          </cell>
          <cell r="BT106">
            <v>0</v>
          </cell>
          <cell r="CA106">
            <v>0</v>
          </cell>
        </row>
        <row r="107">
          <cell r="C107" t="str">
            <v>สะโพกตัดแต่งพิเศษ</v>
          </cell>
          <cell r="D107">
            <v>0</v>
          </cell>
          <cell r="E107">
            <v>0</v>
          </cell>
          <cell r="H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AC107">
            <v>0</v>
          </cell>
          <cell r="AD107">
            <v>0</v>
          </cell>
          <cell r="AF107">
            <v>0</v>
          </cell>
          <cell r="AP107">
            <v>110</v>
          </cell>
          <cell r="AR107">
            <v>0</v>
          </cell>
          <cell r="AT107">
            <v>0</v>
          </cell>
          <cell r="AU107">
            <v>0</v>
          </cell>
          <cell r="AW107">
            <v>0</v>
          </cell>
          <cell r="AX107">
            <v>0</v>
          </cell>
          <cell r="AZ107">
            <v>0</v>
          </cell>
          <cell r="BC107">
            <v>0</v>
          </cell>
          <cell r="BD107">
            <v>0</v>
          </cell>
          <cell r="BI107">
            <v>0</v>
          </cell>
          <cell r="BK107">
            <v>0</v>
          </cell>
          <cell r="BO107">
            <v>0</v>
          </cell>
          <cell r="BT107">
            <v>0</v>
          </cell>
          <cell r="CA107">
            <v>110</v>
          </cell>
        </row>
        <row r="108">
          <cell r="C108" t="str">
            <v>สันนอกหมูแดดเดียว</v>
          </cell>
          <cell r="D108">
            <v>0</v>
          </cell>
          <cell r="E108">
            <v>0</v>
          </cell>
          <cell r="H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AC108">
            <v>0</v>
          </cell>
          <cell r="AD108">
            <v>0</v>
          </cell>
          <cell r="AF108">
            <v>0</v>
          </cell>
          <cell r="AP108">
            <v>0</v>
          </cell>
          <cell r="AR108">
            <v>0</v>
          </cell>
          <cell r="AT108">
            <v>0</v>
          </cell>
          <cell r="AU108">
            <v>0</v>
          </cell>
          <cell r="AW108">
            <v>0</v>
          </cell>
          <cell r="AX108">
            <v>0</v>
          </cell>
          <cell r="AZ108">
            <v>0</v>
          </cell>
          <cell r="BC108">
            <v>0</v>
          </cell>
          <cell r="BD108">
            <v>0</v>
          </cell>
          <cell r="BI108">
            <v>0</v>
          </cell>
          <cell r="BK108">
            <v>0</v>
          </cell>
          <cell r="BO108">
            <v>0</v>
          </cell>
          <cell r="BT108">
            <v>0</v>
          </cell>
          <cell r="CA108">
            <v>0</v>
          </cell>
        </row>
        <row r="109">
          <cell r="C109" t="str">
            <v>ซี่โครงหมูอ่อน</v>
          </cell>
          <cell r="D109">
            <v>0</v>
          </cell>
          <cell r="E109">
            <v>0</v>
          </cell>
          <cell r="H109">
            <v>0</v>
          </cell>
          <cell r="L109">
            <v>0</v>
          </cell>
          <cell r="M109">
            <v>0</v>
          </cell>
          <cell r="N109">
            <v>40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AC109">
            <v>0</v>
          </cell>
          <cell r="AD109">
            <v>0</v>
          </cell>
          <cell r="AF109">
            <v>0</v>
          </cell>
          <cell r="AP109">
            <v>0</v>
          </cell>
          <cell r="AR109">
            <v>0</v>
          </cell>
          <cell r="AT109">
            <v>0</v>
          </cell>
          <cell r="AU109">
            <v>0</v>
          </cell>
          <cell r="AW109">
            <v>0</v>
          </cell>
          <cell r="AX109">
            <v>0</v>
          </cell>
          <cell r="AZ109">
            <v>20</v>
          </cell>
          <cell r="BC109">
            <v>0</v>
          </cell>
          <cell r="BD109">
            <v>0</v>
          </cell>
          <cell r="BI109">
            <v>10</v>
          </cell>
          <cell r="BK109">
            <v>0</v>
          </cell>
          <cell r="BO109">
            <v>0</v>
          </cell>
          <cell r="BT109">
            <v>0</v>
          </cell>
          <cell r="CA109">
            <v>70</v>
          </cell>
        </row>
        <row r="110">
          <cell r="C110" t="str">
            <v>สันคอตัดสเต๊ก</v>
          </cell>
          <cell r="D110">
            <v>0</v>
          </cell>
          <cell r="E110">
            <v>0</v>
          </cell>
          <cell r="H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AC110">
            <v>0</v>
          </cell>
          <cell r="AD110">
            <v>0</v>
          </cell>
          <cell r="AF110">
            <v>0</v>
          </cell>
          <cell r="AP110">
            <v>0</v>
          </cell>
          <cell r="AR110">
            <v>0</v>
          </cell>
          <cell r="AT110">
            <v>0</v>
          </cell>
          <cell r="AU110">
            <v>0</v>
          </cell>
          <cell r="AW110">
            <v>0</v>
          </cell>
          <cell r="AX110">
            <v>0</v>
          </cell>
          <cell r="AZ110">
            <v>0</v>
          </cell>
          <cell r="BC110">
            <v>0</v>
          </cell>
          <cell r="BD110">
            <v>0</v>
          </cell>
          <cell r="BI110">
            <v>0</v>
          </cell>
          <cell r="BK110">
            <v>0</v>
          </cell>
          <cell r="BO110">
            <v>0</v>
          </cell>
          <cell r="BT110">
            <v>0</v>
          </cell>
          <cell r="CA110">
            <v>0</v>
          </cell>
        </row>
        <row r="111">
          <cell r="C111" t="str">
            <v>สันคอตัดแต่งพิเศษ</v>
          </cell>
          <cell r="D111">
            <v>0</v>
          </cell>
          <cell r="E111">
            <v>0</v>
          </cell>
          <cell r="H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AC111">
            <v>0</v>
          </cell>
          <cell r="AD111">
            <v>0</v>
          </cell>
          <cell r="AF111">
            <v>0</v>
          </cell>
          <cell r="AP111">
            <v>0</v>
          </cell>
          <cell r="AR111">
            <v>0</v>
          </cell>
          <cell r="AT111">
            <v>0</v>
          </cell>
          <cell r="AU111">
            <v>0</v>
          </cell>
          <cell r="AW111">
            <v>0</v>
          </cell>
          <cell r="AX111">
            <v>0</v>
          </cell>
          <cell r="AZ111">
            <v>0</v>
          </cell>
          <cell r="BC111">
            <v>0</v>
          </cell>
          <cell r="BD111">
            <v>0</v>
          </cell>
          <cell r="BI111">
            <v>0</v>
          </cell>
          <cell r="BK111">
            <v>0</v>
          </cell>
          <cell r="BO111">
            <v>0</v>
          </cell>
          <cell r="BT111">
            <v>0</v>
          </cell>
          <cell r="CA111">
            <v>0</v>
          </cell>
        </row>
        <row r="112">
          <cell r="C112" t="str">
            <v>สันนอกตัดแต่งพิเศษ</v>
          </cell>
          <cell r="D112">
            <v>0</v>
          </cell>
          <cell r="E112">
            <v>0</v>
          </cell>
          <cell r="H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140</v>
          </cell>
          <cell r="Y112">
            <v>0</v>
          </cell>
          <cell r="AC112">
            <v>0</v>
          </cell>
          <cell r="AD112">
            <v>0</v>
          </cell>
          <cell r="AF112">
            <v>0</v>
          </cell>
          <cell r="AP112">
            <v>0</v>
          </cell>
          <cell r="AR112">
            <v>0</v>
          </cell>
          <cell r="AT112">
            <v>0</v>
          </cell>
          <cell r="AU112">
            <v>0</v>
          </cell>
          <cell r="AW112">
            <v>0</v>
          </cell>
          <cell r="AX112">
            <v>0</v>
          </cell>
          <cell r="AZ112">
            <v>0</v>
          </cell>
          <cell r="BC112">
            <v>0</v>
          </cell>
          <cell r="BD112">
            <v>0</v>
          </cell>
          <cell r="BI112">
            <v>0</v>
          </cell>
          <cell r="BK112">
            <v>0</v>
          </cell>
          <cell r="BO112">
            <v>0</v>
          </cell>
          <cell r="BT112">
            <v>0</v>
          </cell>
          <cell r="CA112">
            <v>140</v>
          </cell>
          <cell r="CV112" t="str">
            <v xml:space="preserve"> </v>
          </cell>
        </row>
        <row r="113">
          <cell r="D113">
            <v>365</v>
          </cell>
          <cell r="E113">
            <v>760</v>
          </cell>
          <cell r="F113">
            <v>0</v>
          </cell>
          <cell r="G113">
            <v>0</v>
          </cell>
          <cell r="H113">
            <v>1885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1590</v>
          </cell>
          <cell r="N113">
            <v>1850</v>
          </cell>
          <cell r="O113">
            <v>0</v>
          </cell>
          <cell r="P113">
            <v>2350</v>
          </cell>
          <cell r="Q113">
            <v>0</v>
          </cell>
          <cell r="R113">
            <v>0</v>
          </cell>
          <cell r="S113">
            <v>0</v>
          </cell>
          <cell r="T113">
            <v>924</v>
          </cell>
          <cell r="U113">
            <v>700</v>
          </cell>
          <cell r="V113">
            <v>425</v>
          </cell>
          <cell r="W113">
            <v>1960</v>
          </cell>
          <cell r="X113">
            <v>1960</v>
          </cell>
          <cell r="Y113">
            <v>232</v>
          </cell>
          <cell r="Z113">
            <v>0</v>
          </cell>
          <cell r="AA113">
            <v>0</v>
          </cell>
          <cell r="AB113">
            <v>0</v>
          </cell>
          <cell r="AC113">
            <v>1668</v>
          </cell>
          <cell r="AD113">
            <v>1640</v>
          </cell>
          <cell r="AE113">
            <v>0</v>
          </cell>
          <cell r="AF113">
            <v>695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680</v>
          </cell>
          <cell r="AQ113">
            <v>0</v>
          </cell>
          <cell r="AR113">
            <v>906</v>
          </cell>
          <cell r="AS113">
            <v>0</v>
          </cell>
          <cell r="AT113">
            <v>625</v>
          </cell>
          <cell r="AU113">
            <v>940</v>
          </cell>
          <cell r="AV113">
            <v>0</v>
          </cell>
          <cell r="AW113">
            <v>1456</v>
          </cell>
          <cell r="AX113">
            <v>2600</v>
          </cell>
          <cell r="AY113">
            <v>0</v>
          </cell>
          <cell r="AZ113">
            <v>825</v>
          </cell>
          <cell r="BA113">
            <v>0</v>
          </cell>
          <cell r="BB113">
            <v>0</v>
          </cell>
          <cell r="BC113">
            <v>695</v>
          </cell>
          <cell r="BD113">
            <v>895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120</v>
          </cell>
          <cell r="BJ113">
            <v>0</v>
          </cell>
          <cell r="BK113">
            <v>1205</v>
          </cell>
          <cell r="BL113">
            <v>0</v>
          </cell>
          <cell r="BM113">
            <v>0</v>
          </cell>
          <cell r="BN113">
            <v>0</v>
          </cell>
          <cell r="BO113">
            <v>810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265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31026</v>
          </cell>
          <cell r="CB113">
            <v>0</v>
          </cell>
          <cell r="CC113">
            <v>0</v>
          </cell>
          <cell r="CD113">
            <v>0</v>
          </cell>
        </row>
        <row r="119">
          <cell r="CC119" t="str">
            <v xml:space="preserve"> </v>
          </cell>
        </row>
        <row r="123">
          <cell r="AR123" t="str">
            <v xml:space="preserve"> </v>
          </cell>
          <cell r="BK123" t="str">
            <v xml:space="preserve"> </v>
          </cell>
        </row>
        <row r="163">
          <cell r="E163">
            <v>0</v>
          </cell>
          <cell r="AC163" t="str">
            <v xml:space="preserve"> </v>
          </cell>
        </row>
        <row r="1002">
          <cell r="C1002" t="str">
            <v>กระบี่</v>
          </cell>
        </row>
      </sheetData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7295-5697-4BF9-BF0A-68D872DF7A4A}">
  <dimension ref="A1:E63"/>
  <sheetViews>
    <sheetView workbookViewId="0">
      <selection sqref="A1:E62"/>
    </sheetView>
  </sheetViews>
  <sheetFormatPr defaultRowHeight="13.8" x14ac:dyDescent="0.25"/>
  <cols>
    <col min="2" max="2" width="19.8984375" customWidth="1"/>
    <col min="3" max="3" width="23.796875" customWidth="1"/>
    <col min="4" max="4" width="30.59765625" customWidth="1"/>
    <col min="5" max="5" width="37.5" customWidth="1"/>
  </cols>
  <sheetData>
    <row r="1" spans="1:5" ht="26.4" x14ac:dyDescent="0.7">
      <c r="A1" s="1" t="s">
        <v>0</v>
      </c>
      <c r="B1" s="1"/>
      <c r="C1" s="1"/>
      <c r="D1" s="2"/>
      <c r="E1" s="3" t="s">
        <v>1</v>
      </c>
    </row>
    <row r="2" spans="1:5" ht="32.4" x14ac:dyDescent="0.85">
      <c r="A2" s="4" t="s">
        <v>2</v>
      </c>
      <c r="B2" s="4"/>
      <c r="C2" s="5" t="s">
        <v>3</v>
      </c>
      <c r="D2" s="4" t="s">
        <v>4</v>
      </c>
      <c r="E2" s="6"/>
    </row>
    <row r="3" spans="1:5" ht="26.4" x14ac:dyDescent="0.7">
      <c r="A3" s="7" t="s">
        <v>5</v>
      </c>
      <c r="B3" s="8"/>
      <c r="C3" s="9" t="s">
        <v>6</v>
      </c>
      <c r="D3" s="4" t="s">
        <v>7</v>
      </c>
      <c r="E3" s="10"/>
    </row>
    <row r="4" spans="1:5" ht="26.4" x14ac:dyDescent="0.7">
      <c r="A4" s="8" t="s">
        <v>8</v>
      </c>
      <c r="B4" s="8"/>
      <c r="C4" s="11"/>
      <c r="D4" s="12" t="s">
        <v>9</v>
      </c>
      <c r="E4" s="11"/>
    </row>
    <row r="5" spans="1:5" ht="23.4" x14ac:dyDescent="0.6">
      <c r="A5" s="8"/>
      <c r="B5" s="13"/>
      <c r="C5" s="14" t="s">
        <v>10</v>
      </c>
      <c r="D5" s="15" t="s">
        <v>11</v>
      </c>
      <c r="E5" s="16"/>
    </row>
    <row r="6" spans="1:5" ht="20.399999999999999" x14ac:dyDescent="0.35">
      <c r="A6" s="8"/>
      <c r="B6" s="13">
        <f ca="1">NOW()</f>
        <v>46183.68685972222</v>
      </c>
    </row>
    <row r="7" spans="1:5" ht="23.4" x14ac:dyDescent="0.6">
      <c r="A7" s="17" t="s">
        <v>12</v>
      </c>
      <c r="B7" s="17" t="s">
        <v>13</v>
      </c>
      <c r="C7" s="17" t="s">
        <v>14</v>
      </c>
      <c r="D7" s="17" t="s">
        <v>15</v>
      </c>
      <c r="E7" s="17" t="s">
        <v>16</v>
      </c>
    </row>
    <row r="8" spans="1:5" ht="28.8" x14ac:dyDescent="0.75">
      <c r="A8" s="17">
        <v>1</v>
      </c>
      <c r="B8" s="18"/>
      <c r="C8" s="19" t="s">
        <v>17</v>
      </c>
      <c r="D8" s="20" t="str">
        <f>IF(VLOOKUP(C8,[1]Summary!C:CA,16,0)=0,"",VLOOKUP(C8,[1]Summary!C:CA,16,0))</f>
        <v/>
      </c>
      <c r="E8" s="17" t="s">
        <v>18</v>
      </c>
    </row>
    <row r="9" spans="1:5" ht="28.8" x14ac:dyDescent="0.75">
      <c r="A9" s="17">
        <v>2</v>
      </c>
      <c r="B9" s="18"/>
      <c r="C9" s="19" t="s">
        <v>19</v>
      </c>
      <c r="D9" s="20" t="str">
        <f>IF(VLOOKUP(C9,[1]Summary!C:CA,16,0)=0,"",VLOOKUP(C9,[1]Summary!C:CA,16,0))</f>
        <v/>
      </c>
      <c r="E9" s="17"/>
    </row>
    <row r="10" spans="1:5" ht="28.8" x14ac:dyDescent="0.75">
      <c r="A10" s="17">
        <v>3</v>
      </c>
      <c r="B10" s="18"/>
      <c r="C10" s="19" t="s">
        <v>20</v>
      </c>
      <c r="D10" s="20" t="str">
        <f>IF(VLOOKUP(C10,[1]Summary!C:CA,16,0)=0,"",VLOOKUP(C10,[1]Summary!C:CA,16,0))</f>
        <v/>
      </c>
      <c r="E10" s="17"/>
    </row>
    <row r="11" spans="1:5" ht="28.8" x14ac:dyDescent="0.75">
      <c r="A11" s="17">
        <v>4</v>
      </c>
      <c r="B11" s="18"/>
      <c r="C11" s="19" t="s">
        <v>21</v>
      </c>
      <c r="D11" s="20" t="str">
        <f>IF(VLOOKUP(C11,[1]Summary!C:CA,16,0)=0,"",VLOOKUP(C11,[1]Summary!C:CA,16,0))</f>
        <v/>
      </c>
      <c r="E11" s="17"/>
    </row>
    <row r="12" spans="1:5" ht="28.8" x14ac:dyDescent="0.75">
      <c r="A12" s="17">
        <v>5</v>
      </c>
      <c r="B12" s="18"/>
      <c r="C12" s="19" t="s">
        <v>22</v>
      </c>
      <c r="D12" s="20" t="str">
        <f>IF(VLOOKUP(C12,[1]Summary!C:CA,16,0)=0,"",VLOOKUP(C12,[1]Summary!C:CA,16,0))</f>
        <v/>
      </c>
      <c r="E12" s="17"/>
    </row>
    <row r="13" spans="1:5" ht="28.8" x14ac:dyDescent="0.75">
      <c r="A13" s="17">
        <v>6</v>
      </c>
      <c r="B13" s="18"/>
      <c r="C13" s="19" t="s">
        <v>23</v>
      </c>
      <c r="D13" s="20" t="str">
        <f>IF(VLOOKUP(C13,[1]Summary!C:CA,16,0)=0,"",VLOOKUP(C13,[1]Summary!C:CA,16,0))</f>
        <v/>
      </c>
      <c r="E13" s="17"/>
    </row>
    <row r="14" spans="1:5" ht="28.8" x14ac:dyDescent="0.75">
      <c r="A14" s="17">
        <v>7</v>
      </c>
      <c r="B14" s="18"/>
      <c r="C14" s="19" t="s">
        <v>24</v>
      </c>
      <c r="D14" s="20" t="str">
        <f>IF(VLOOKUP(C14,[1]Summary!C:CA,16,0)=0,"",VLOOKUP(C14,[1]Summary!C:CA,16,0))</f>
        <v/>
      </c>
      <c r="E14" s="21" t="s">
        <v>25</v>
      </c>
    </row>
    <row r="15" spans="1:5" ht="28.8" x14ac:dyDescent="0.75">
      <c r="A15" s="17">
        <v>8</v>
      </c>
      <c r="B15" s="18"/>
      <c r="C15" s="19" t="s">
        <v>26</v>
      </c>
      <c r="D15" s="20" t="str">
        <f>IF(VLOOKUP(C15,[1]Summary!C:CA,16,0)=0,"",VLOOKUP(C15,[1]Summary!C:CA,16,0))</f>
        <v/>
      </c>
      <c r="E15" s="17"/>
    </row>
    <row r="16" spans="1:5" ht="28.8" x14ac:dyDescent="0.75">
      <c r="A16" s="17">
        <v>9</v>
      </c>
      <c r="B16" s="18"/>
      <c r="C16" s="19" t="s">
        <v>27</v>
      </c>
      <c r="D16" s="20" t="str">
        <f>IF(VLOOKUP(C16,[1]Summary!C:CA,16,0)=0,"",VLOOKUP(C16,[1]Summary!C:CA,16,0))</f>
        <v/>
      </c>
      <c r="E16" s="17"/>
    </row>
    <row r="17" spans="1:5" ht="28.8" x14ac:dyDescent="0.75">
      <c r="A17" s="17">
        <v>10</v>
      </c>
      <c r="B17" s="18"/>
      <c r="C17" s="19" t="s">
        <v>28</v>
      </c>
      <c r="D17" s="20" t="str">
        <f>IF(VLOOKUP(C17,[1]Summary!C:CA,16,0)=0,"",VLOOKUP(C17,[1]Summary!C:CA,16,0))</f>
        <v/>
      </c>
      <c r="E17" s="17"/>
    </row>
    <row r="18" spans="1:5" ht="28.8" x14ac:dyDescent="0.75">
      <c r="A18" s="17">
        <v>11</v>
      </c>
      <c r="B18" s="18"/>
      <c r="C18" s="19" t="s">
        <v>29</v>
      </c>
      <c r="D18" s="20" t="str">
        <f>IF(VLOOKUP(C18,[1]Summary!C:CA,16,0)=0,"",VLOOKUP(C18,[1]Summary!C:CA,16,0))</f>
        <v/>
      </c>
      <c r="E18" s="17"/>
    </row>
    <row r="19" spans="1:5" ht="28.8" x14ac:dyDescent="0.75">
      <c r="A19" s="17">
        <v>12</v>
      </c>
      <c r="B19" s="18"/>
      <c r="C19" s="19" t="s">
        <v>30</v>
      </c>
      <c r="D19" s="20" t="str">
        <f>IF(VLOOKUP(C19,[1]Summary!C:CA,16,0)=0,"",VLOOKUP(C19,[1]Summary!C:CA,16,0))</f>
        <v/>
      </c>
      <c r="E19" s="17"/>
    </row>
    <row r="20" spans="1:5" ht="28.8" x14ac:dyDescent="0.75">
      <c r="A20" s="17">
        <v>13</v>
      </c>
      <c r="B20" s="18"/>
      <c r="C20" s="19" t="s">
        <v>31</v>
      </c>
      <c r="D20" s="20" t="str">
        <f>IF(VLOOKUP(C20,[1]Summary!C:CA,16,0)=0,"",VLOOKUP(C20,[1]Summary!C:CA,16,0))</f>
        <v/>
      </c>
      <c r="E20" s="17"/>
    </row>
    <row r="21" spans="1:5" ht="28.8" x14ac:dyDescent="0.75">
      <c r="A21" s="17">
        <v>14</v>
      </c>
      <c r="B21" s="18"/>
      <c r="C21" s="19" t="s">
        <v>32</v>
      </c>
      <c r="D21" s="20" t="str">
        <f>IF(VLOOKUP(C21,[1]Summary!C:CA,16,0)=0,"",VLOOKUP(C21,[1]Summary!C:CA,16,0))</f>
        <v/>
      </c>
      <c r="E21" s="17"/>
    </row>
    <row r="22" spans="1:5" ht="28.8" x14ac:dyDescent="0.75">
      <c r="A22" s="17">
        <v>15</v>
      </c>
      <c r="B22" s="18"/>
      <c r="C22" s="19" t="s">
        <v>33</v>
      </c>
      <c r="D22" s="20" t="str">
        <f>IF(VLOOKUP(C22,[1]Summary!C:CA,16,0)=0,"",VLOOKUP(C22,[1]Summary!C:CA,16,0))</f>
        <v/>
      </c>
      <c r="E22" s="17"/>
    </row>
    <row r="23" spans="1:5" ht="28.8" x14ac:dyDescent="0.75">
      <c r="A23" s="17">
        <v>16</v>
      </c>
      <c r="B23" s="18"/>
      <c r="C23" s="19" t="s">
        <v>34</v>
      </c>
      <c r="D23" s="20" t="str">
        <f>IF(VLOOKUP(C23,[1]Summary!C:CA,16,0)=0,"",VLOOKUP(C23,[1]Summary!C:CA,16,0))</f>
        <v/>
      </c>
      <c r="E23" s="17"/>
    </row>
    <row r="24" spans="1:5" ht="28.8" x14ac:dyDescent="0.75">
      <c r="A24" s="17">
        <v>17</v>
      </c>
      <c r="B24" s="18"/>
      <c r="C24" s="19" t="s">
        <v>35</v>
      </c>
      <c r="D24" s="20" t="str">
        <f>IF(VLOOKUP(C24,[1]Summary!C:CA,16,0)=0,"",VLOOKUP(C24,[1]Summary!C:CA,16,0))</f>
        <v/>
      </c>
      <c r="E24" s="21" t="s">
        <v>36</v>
      </c>
    </row>
    <row r="25" spans="1:5" ht="28.8" x14ac:dyDescent="0.75">
      <c r="A25" s="17">
        <v>18</v>
      </c>
      <c r="B25" s="18"/>
      <c r="C25" s="19" t="s">
        <v>37</v>
      </c>
      <c r="D25" s="20" t="str">
        <f>IF(VLOOKUP(C25,[1]Summary!C:CA,16,0)=0,"",VLOOKUP(C25,[1]Summary!C:CA,16,0))</f>
        <v/>
      </c>
      <c r="E25" s="17"/>
    </row>
    <row r="26" spans="1:5" ht="28.8" x14ac:dyDescent="0.75">
      <c r="A26" s="17">
        <v>19</v>
      </c>
      <c r="B26" s="18"/>
      <c r="C26" s="19" t="s">
        <v>38</v>
      </c>
      <c r="D26" s="20" t="str">
        <f>IF(VLOOKUP(C26,[1]Summary!C:CA,16,0)=0,"",VLOOKUP(C26,[1]Summary!C:CA,16,0))</f>
        <v/>
      </c>
      <c r="E26" s="21" t="s">
        <v>39</v>
      </c>
    </row>
    <row r="27" spans="1:5" ht="28.8" x14ac:dyDescent="0.75">
      <c r="A27" s="17">
        <v>20</v>
      </c>
      <c r="B27" s="18"/>
      <c r="C27" s="19" t="s">
        <v>40</v>
      </c>
      <c r="D27" s="20" t="str">
        <f>IF(VLOOKUP(C27,[1]Summary!C:CA,16,0)=0,"",VLOOKUP(C27,[1]Summary!C:CA,16,0))</f>
        <v/>
      </c>
      <c r="E27" s="17"/>
    </row>
    <row r="28" spans="1:5" ht="28.8" x14ac:dyDescent="0.75">
      <c r="A28" s="17">
        <v>21</v>
      </c>
      <c r="B28" s="18"/>
      <c r="C28" s="19" t="s">
        <v>41</v>
      </c>
      <c r="D28" s="20" t="str">
        <f>IF(VLOOKUP(C28,[1]Summary!C:CA,16,0)=0,"",VLOOKUP(C28,[1]Summary!C:CA,16,0))</f>
        <v/>
      </c>
      <c r="E28" s="17"/>
    </row>
    <row r="29" spans="1:5" ht="28.8" x14ac:dyDescent="0.75">
      <c r="A29" s="17">
        <v>22</v>
      </c>
      <c r="B29" s="18"/>
      <c r="C29" s="19" t="s">
        <v>42</v>
      </c>
      <c r="D29" s="20" t="str">
        <f>IF(VLOOKUP(C29,[1]Summary!C:CA,16,0)=0,"",VLOOKUP(C29,[1]Summary!C:CA,16,0))</f>
        <v/>
      </c>
      <c r="E29" s="17"/>
    </row>
    <row r="30" spans="1:5" ht="28.8" x14ac:dyDescent="0.75">
      <c r="A30" s="17">
        <v>23</v>
      </c>
      <c r="B30" s="18"/>
      <c r="C30" s="19" t="s">
        <v>43</v>
      </c>
      <c r="D30" s="20" t="str">
        <f>IF(VLOOKUP(C30,[1]Summary!C:CA,16,0)=0,"",VLOOKUP(C30,[1]Summary!C:CA,16,0))</f>
        <v/>
      </c>
      <c r="E30" s="17"/>
    </row>
    <row r="31" spans="1:5" ht="28.8" x14ac:dyDescent="0.75">
      <c r="A31" s="17">
        <v>24</v>
      </c>
      <c r="B31" s="18"/>
      <c r="C31" s="19" t="s">
        <v>44</v>
      </c>
      <c r="D31" s="20" t="str">
        <f>IF(VLOOKUP(C31,[1]Summary!C:CA,16,0)=0,"",VLOOKUP(C31,[1]Summary!C:CA,16,0))</f>
        <v/>
      </c>
      <c r="E31" s="17"/>
    </row>
    <row r="32" spans="1:5" ht="28.8" x14ac:dyDescent="0.75">
      <c r="A32" s="17">
        <v>25</v>
      </c>
      <c r="B32" s="18"/>
      <c r="C32" s="19" t="s">
        <v>45</v>
      </c>
      <c r="D32" s="20" t="str">
        <f>IF(VLOOKUP(C32,[1]Summary!C:CA,16,0)=0,"",VLOOKUP(C32,[1]Summary!C:CA,16,0))</f>
        <v/>
      </c>
      <c r="E32" s="22"/>
    </row>
    <row r="33" spans="1:5" ht="28.8" x14ac:dyDescent="0.75">
      <c r="A33" s="17">
        <v>26</v>
      </c>
      <c r="B33" s="18"/>
      <c r="C33" s="19" t="s">
        <v>46</v>
      </c>
      <c r="D33" s="20" t="str">
        <f>IF(VLOOKUP(C33,[1]Summary!C:CA,16,0)=0,"",VLOOKUP(C33,[1]Summary!C:CA,16,0))</f>
        <v/>
      </c>
      <c r="E33" s="21" t="s">
        <v>47</v>
      </c>
    </row>
    <row r="34" spans="1:5" ht="28.8" x14ac:dyDescent="0.75">
      <c r="A34" s="17">
        <v>27</v>
      </c>
      <c r="B34" s="18"/>
      <c r="C34" s="19" t="s">
        <v>48</v>
      </c>
      <c r="D34" s="20" t="str">
        <f>IF(VLOOKUP(C34,[1]Summary!C:CA,16,0)=0,"",VLOOKUP(C34,[1]Summary!C:CA,16,0))</f>
        <v/>
      </c>
      <c r="E34" s="17"/>
    </row>
    <row r="35" spans="1:5" ht="28.8" x14ac:dyDescent="0.75">
      <c r="A35" s="17">
        <v>28</v>
      </c>
      <c r="B35" s="18"/>
      <c r="C35" s="19" t="s">
        <v>49</v>
      </c>
      <c r="D35" s="20" t="str">
        <f>IF(VLOOKUP(C35,[1]Summary!C:CA,16,0)=0,"",VLOOKUP(C35,[1]Summary!C:CA,16,0))</f>
        <v/>
      </c>
      <c r="E35" s="17"/>
    </row>
    <row r="36" spans="1:5" ht="28.8" x14ac:dyDescent="0.75">
      <c r="A36" s="17">
        <v>32</v>
      </c>
      <c r="B36" s="18"/>
      <c r="C36" s="19" t="s">
        <v>50</v>
      </c>
      <c r="D36" s="20" t="str">
        <f>IF(VLOOKUP(C36,[1]Summary!C:CA,16,0)=0,"",VLOOKUP(C36,[1]Summary!C:CA,16,0))</f>
        <v/>
      </c>
      <c r="E36" s="17"/>
    </row>
    <row r="37" spans="1:5" ht="28.8" x14ac:dyDescent="0.75">
      <c r="A37" s="17">
        <v>33</v>
      </c>
      <c r="B37" s="18"/>
      <c r="C37" s="19" t="s">
        <v>51</v>
      </c>
      <c r="D37" s="20" t="str">
        <f>IF(VLOOKUP(C37,[1]Summary!C:CA,16,0)=0,"",VLOOKUP(C37,[1]Summary!C:CA,16,0))</f>
        <v/>
      </c>
      <c r="E37" s="17"/>
    </row>
    <row r="38" spans="1:5" ht="28.8" x14ac:dyDescent="0.75">
      <c r="A38" s="17">
        <v>34</v>
      </c>
      <c r="B38" s="18"/>
      <c r="C38" s="23" t="s">
        <v>52</v>
      </c>
      <c r="D38" s="20" t="str">
        <f>IF(VLOOKUP(C38,[1]Summary!C:CA,16,0)=0,"",VLOOKUP(C38,[1]Summary!C:CA,16,0))</f>
        <v/>
      </c>
      <c r="E38" s="17"/>
    </row>
    <row r="39" spans="1:5" ht="28.8" x14ac:dyDescent="0.75">
      <c r="A39" s="17">
        <v>35</v>
      </c>
      <c r="B39" s="18"/>
      <c r="C39" s="19" t="s">
        <v>53</v>
      </c>
      <c r="D39" s="20" t="str">
        <f>IF(VLOOKUP(C39,[1]Summary!C:CA,16,0)=0,"",VLOOKUP(C39,[1]Summary!C:CA,16,0))</f>
        <v/>
      </c>
      <c r="E39" s="17"/>
    </row>
    <row r="40" spans="1:5" ht="28.8" x14ac:dyDescent="0.75">
      <c r="A40" s="17">
        <v>36</v>
      </c>
      <c r="B40" s="18"/>
      <c r="C40" s="19" t="s">
        <v>54</v>
      </c>
      <c r="D40" s="20" t="str">
        <f>IF(VLOOKUP(C40,[1]Summary!C:CA,16,0)=0,"",VLOOKUP(C40,[1]Summary!C:CA,16,0))</f>
        <v/>
      </c>
      <c r="E40" s="17"/>
    </row>
    <row r="41" spans="1:5" ht="28.8" x14ac:dyDescent="0.75">
      <c r="A41" s="17">
        <v>37</v>
      </c>
      <c r="B41" s="18"/>
      <c r="C41" s="24" t="s">
        <v>55</v>
      </c>
      <c r="D41" s="20" t="str">
        <f>IF(VLOOKUP(C41,[1]Summary!C:CA,16,0)=0,"",VLOOKUP(C41,[1]Summary!C:CA,16,0))</f>
        <v/>
      </c>
      <c r="E41" s="17"/>
    </row>
    <row r="42" spans="1:5" ht="28.8" x14ac:dyDescent="0.75">
      <c r="A42" s="17">
        <v>38</v>
      </c>
      <c r="B42" s="18"/>
      <c r="C42" s="19" t="s">
        <v>56</v>
      </c>
      <c r="D42" s="20" t="str">
        <f>IF(VLOOKUP(C42,[1]Summary!C:CA,16,0)=0,"",VLOOKUP(C42,[1]Summary!C:CA,16,0))</f>
        <v/>
      </c>
      <c r="E42" s="17"/>
    </row>
    <row r="43" spans="1:5" ht="28.8" x14ac:dyDescent="0.75">
      <c r="A43" s="17">
        <v>39</v>
      </c>
      <c r="B43" s="18"/>
      <c r="C43" s="19" t="s">
        <v>57</v>
      </c>
      <c r="D43" s="20" t="str">
        <f>IF(VLOOKUP(C43,[1]Summary!C:CA,16,0)=0,"",VLOOKUP(C43,[1]Summary!C:CA,16,0))</f>
        <v/>
      </c>
      <c r="E43" s="22"/>
    </row>
    <row r="44" spans="1:5" ht="28.8" x14ac:dyDescent="0.75">
      <c r="A44" s="17">
        <v>40</v>
      </c>
      <c r="B44" s="18"/>
      <c r="C44" s="19" t="s">
        <v>58</v>
      </c>
      <c r="D44" s="20" t="str">
        <f>IF(VLOOKUP(C44,[1]Summary!C:CA,16,0)=0,"",VLOOKUP(C44,[1]Summary!C:CA,16,0))</f>
        <v/>
      </c>
      <c r="E44" s="22"/>
    </row>
    <row r="45" spans="1:5" ht="28.8" x14ac:dyDescent="0.75">
      <c r="A45" s="17">
        <v>41</v>
      </c>
      <c r="B45" s="18"/>
      <c r="C45" s="19" t="s">
        <v>59</v>
      </c>
      <c r="D45" s="20" t="str">
        <f>IF(VLOOKUP(C45,[1]Summary!C:CA,16,0)=0,"",VLOOKUP(C45,[1]Summary!C:CA,16,0))</f>
        <v/>
      </c>
      <c r="E45" s="22"/>
    </row>
    <row r="46" spans="1:5" ht="28.8" x14ac:dyDescent="0.75">
      <c r="A46" s="17">
        <v>42</v>
      </c>
      <c r="B46" s="18"/>
      <c r="C46" s="19" t="s">
        <v>60</v>
      </c>
      <c r="D46" s="20" t="str">
        <f>IF(VLOOKUP(C46,[1]Summary!C:CA,16,0)=0,"",VLOOKUP(C46,[1]Summary!C:CA,16,0))</f>
        <v/>
      </c>
      <c r="E46" s="21" t="s">
        <v>61</v>
      </c>
    </row>
    <row r="47" spans="1:5" ht="28.8" x14ac:dyDescent="0.75">
      <c r="A47" s="17">
        <v>43</v>
      </c>
      <c r="B47" s="18"/>
      <c r="C47" s="19" t="s">
        <v>62</v>
      </c>
      <c r="D47" s="20" t="str">
        <f>IF(VLOOKUP(C47,[1]Summary!C:CA,16,0)=0,"",VLOOKUP(C47,[1]Summary!C:CA,16,0))</f>
        <v/>
      </c>
      <c r="E47" s="22"/>
    </row>
    <row r="48" spans="1:5" ht="28.8" x14ac:dyDescent="0.75">
      <c r="A48" s="17">
        <v>45</v>
      </c>
      <c r="B48" s="18"/>
      <c r="C48" s="19" t="s">
        <v>63</v>
      </c>
      <c r="D48" s="20" t="str">
        <f>IF(VLOOKUP(C48,[1]Summary!C:CA,16,0)=0,"",VLOOKUP(C48,[1]Summary!C:CA,16,0))</f>
        <v/>
      </c>
      <c r="E48" s="22" t="s">
        <v>64</v>
      </c>
    </row>
    <row r="49" spans="1:5" ht="28.8" x14ac:dyDescent="0.75">
      <c r="A49" s="17">
        <v>45</v>
      </c>
      <c r="B49" s="18"/>
      <c r="C49" s="19" t="s">
        <v>65</v>
      </c>
      <c r="D49" s="20" t="str">
        <f>IF(VLOOKUP(C49,[1]Summary!C:CA,16,0)=0,"",VLOOKUP(C49,[1]Summary!C:CA,16,0))</f>
        <v/>
      </c>
      <c r="E49" s="22"/>
    </row>
    <row r="50" spans="1:5" ht="28.8" x14ac:dyDescent="0.75">
      <c r="A50" s="17">
        <v>44</v>
      </c>
      <c r="B50" s="18"/>
      <c r="C50" s="19" t="s">
        <v>66</v>
      </c>
      <c r="D50" s="20" t="str">
        <f>IF(VLOOKUP(C50,[1]Summary!C:CA,16,0)=0,"",VLOOKUP(C50,[1]Summary!C:CA,16,0))</f>
        <v/>
      </c>
      <c r="E50" s="22"/>
    </row>
    <row r="51" spans="1:5" ht="28.8" x14ac:dyDescent="0.75">
      <c r="A51" s="17">
        <v>45</v>
      </c>
      <c r="B51" s="18"/>
      <c r="C51" s="19" t="s">
        <v>67</v>
      </c>
      <c r="D51" s="20" t="str">
        <f>IF(VLOOKUP(C51,[1]Summary!C:CA,16,0)=0,"",VLOOKUP(C51,[1]Summary!C:CA,16,0))</f>
        <v/>
      </c>
      <c r="E51" s="22"/>
    </row>
    <row r="52" spans="1:5" ht="28.8" x14ac:dyDescent="0.75">
      <c r="A52" s="17">
        <v>45</v>
      </c>
      <c r="B52" s="18"/>
      <c r="C52" s="19" t="s">
        <v>68</v>
      </c>
      <c r="D52" s="20" t="str">
        <f>IF(VLOOKUP(C52,[1]Summary!C:CA,16,0)=0,"",VLOOKUP(C52,[1]Summary!C:CA,16,0))</f>
        <v/>
      </c>
      <c r="E52" s="22"/>
    </row>
    <row r="53" spans="1:5" ht="28.8" x14ac:dyDescent="0.75">
      <c r="A53" s="17">
        <v>45</v>
      </c>
      <c r="B53" s="18"/>
      <c r="C53" s="19" t="s">
        <v>69</v>
      </c>
      <c r="D53" s="20" t="str">
        <f>IF(VLOOKUP(C53,[1]Summary!C:CA,16,0)=0,"",VLOOKUP(C53,[1]Summary!C:CA,16,0))</f>
        <v/>
      </c>
      <c r="E53" s="22"/>
    </row>
    <row r="54" spans="1:5" ht="28.8" x14ac:dyDescent="0.75">
      <c r="A54" s="17">
        <v>46</v>
      </c>
      <c r="B54" s="18"/>
      <c r="C54" s="19" t="s">
        <v>70</v>
      </c>
      <c r="D54" s="20" t="str">
        <f>IF(VLOOKUP(C54,[1]Summary!C:CA,16,0)=0,"",VLOOKUP(C54,[1]Summary!C:CA,16,0))</f>
        <v/>
      </c>
      <c r="E54" s="22"/>
    </row>
    <row r="55" spans="1:5" ht="28.8" x14ac:dyDescent="0.75">
      <c r="A55" s="17">
        <v>47</v>
      </c>
      <c r="B55" s="18"/>
      <c r="C55" s="19" t="s">
        <v>71</v>
      </c>
      <c r="D55" s="20" t="str">
        <f>IF(VLOOKUP(C55,[1]Summary!C:CA,16,0)=0,"",VLOOKUP(C55,[1]Summary!C:CA,16,0))</f>
        <v/>
      </c>
      <c r="E55" s="22"/>
    </row>
    <row r="56" spans="1:5" ht="28.8" x14ac:dyDescent="0.75">
      <c r="A56" s="17">
        <v>48</v>
      </c>
      <c r="B56" s="18"/>
      <c r="C56" s="19" t="s">
        <v>72</v>
      </c>
      <c r="D56" s="20" t="str">
        <f>IF(VLOOKUP(C56,[1]Summary!C:CA,16,0)=0,"",VLOOKUP(C56,[1]Summary!C:CA,16,0))</f>
        <v/>
      </c>
      <c r="E56" s="22"/>
    </row>
    <row r="57" spans="1:5" ht="28.8" x14ac:dyDescent="0.75">
      <c r="A57" s="17">
        <v>49</v>
      </c>
      <c r="B57" s="17"/>
      <c r="C57" s="25" t="s">
        <v>73</v>
      </c>
      <c r="D57" s="20" t="str">
        <f>IF(VLOOKUP(C57,[1]Summary!C:CA,16,0)=0,"",VLOOKUP(C57,[1]Summary!C:CA,16,0))</f>
        <v/>
      </c>
      <c r="E57" s="22"/>
    </row>
    <row r="58" spans="1:5" ht="28.8" x14ac:dyDescent="0.75">
      <c r="A58" s="17">
        <v>49</v>
      </c>
      <c r="B58" s="18"/>
      <c r="C58" s="25" t="s">
        <v>74</v>
      </c>
      <c r="D58" s="20" t="str">
        <f>IF(VLOOKUP(C58,[1]Summary!C:CA,16,0)=0,"",VLOOKUP(C58,[1]Summary!C:CA,16,0))</f>
        <v/>
      </c>
      <c r="E58" s="22"/>
    </row>
    <row r="59" spans="1:5" ht="28.8" x14ac:dyDescent="0.75">
      <c r="A59" s="17">
        <v>50</v>
      </c>
      <c r="B59" s="18"/>
      <c r="C59" s="19" t="s">
        <v>75</v>
      </c>
      <c r="D59" s="20" t="str">
        <f>IF(VLOOKUP(C59,[1]Summary!C:CA,16,0)=0,"",VLOOKUP(C59,[1]Summary!C:CA,16,0))</f>
        <v/>
      </c>
      <c r="E59" s="26"/>
    </row>
    <row r="60" spans="1:5" ht="28.8" x14ac:dyDescent="0.75">
      <c r="A60" s="17">
        <v>51</v>
      </c>
      <c r="B60" s="18"/>
      <c r="C60" s="19" t="s">
        <v>76</v>
      </c>
      <c r="D60" s="20" t="str">
        <f>IF(VLOOKUP(C60,[1]Summary!C:CA,16,0)=0,"",VLOOKUP(C60,[1]Summary!C:CA,16,0))</f>
        <v/>
      </c>
      <c r="E60" s="26"/>
    </row>
    <row r="61" spans="1:5" ht="29.4" thickBot="1" x14ac:dyDescent="0.8">
      <c r="B61" s="27" t="s">
        <v>77</v>
      </c>
      <c r="C61" s="19" t="s">
        <v>78</v>
      </c>
      <c r="D61" s="28">
        <f>SUM(D8:D60)</f>
        <v>0</v>
      </c>
      <c r="E61" s="26"/>
    </row>
    <row r="62" spans="1:5" ht="30" thickTop="1" thickBot="1" x14ac:dyDescent="0.8">
      <c r="B62" s="27">
        <f>COUNT(D8:D60)</f>
        <v>0</v>
      </c>
      <c r="C62" s="19" t="s">
        <v>79</v>
      </c>
      <c r="D62" s="29"/>
      <c r="E62" s="26"/>
    </row>
    <row r="63" spans="1:5" ht="14.4" thickTop="1" x14ac:dyDescent="0.25"/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B9F7-48BB-4B80-AFFA-3C591644C4F9}">
  <dimension ref="A1:E25"/>
  <sheetViews>
    <sheetView tabSelected="1" workbookViewId="0">
      <selection sqref="A1:E26"/>
    </sheetView>
  </sheetViews>
  <sheetFormatPr defaultRowHeight="13.8" x14ac:dyDescent="0.25"/>
  <cols>
    <col min="1" max="1" width="8.3984375" customWidth="1"/>
    <col min="2" max="2" width="18.3984375" customWidth="1"/>
    <col min="3" max="3" width="19.8984375" customWidth="1"/>
    <col min="4" max="4" width="13.296875" customWidth="1"/>
    <col min="5" max="5" width="20.19921875" customWidth="1"/>
  </cols>
  <sheetData>
    <row r="1" spans="1:5" ht="32.4" x14ac:dyDescent="0.85">
      <c r="A1" s="30"/>
      <c r="B1" s="30"/>
      <c r="C1" s="30"/>
      <c r="D1" s="30"/>
      <c r="E1" s="31"/>
    </row>
    <row r="2" spans="1:5" ht="32.4" x14ac:dyDescent="0.85">
      <c r="A2" s="32" t="s">
        <v>80</v>
      </c>
      <c r="B2" s="32"/>
      <c r="C2" s="32"/>
      <c r="D2" s="32"/>
      <c r="E2" s="32"/>
    </row>
    <row r="3" spans="1:5" ht="26.4" x14ac:dyDescent="0.7">
      <c r="A3" s="7" t="s">
        <v>5</v>
      </c>
      <c r="B3" s="9"/>
      <c r="C3" s="4" t="s">
        <v>81</v>
      </c>
      <c r="D3" s="4" t="s">
        <v>82</v>
      </c>
      <c r="E3" s="33" t="s">
        <v>83</v>
      </c>
    </row>
    <row r="4" spans="1:5" ht="21" x14ac:dyDescent="0.4">
      <c r="A4" s="8" t="s">
        <v>8</v>
      </c>
      <c r="B4" s="11"/>
      <c r="E4" s="34"/>
    </row>
    <row r="5" spans="1:5" ht="23.4" x14ac:dyDescent="0.6">
      <c r="A5" s="17"/>
      <c r="B5" s="17" t="s">
        <v>14</v>
      </c>
      <c r="C5" s="22" t="s">
        <v>15</v>
      </c>
      <c r="D5" s="22" t="s">
        <v>84</v>
      </c>
      <c r="E5" s="17" t="s">
        <v>16</v>
      </c>
    </row>
    <row r="6" spans="1:5" ht="26.4" x14ac:dyDescent="0.7">
      <c r="A6" s="17">
        <v>1</v>
      </c>
      <c r="B6" s="35" t="s">
        <v>29</v>
      </c>
      <c r="C6" s="36" t="str">
        <f>IF(VLOOKUP(B6,[1]Summary!$C:$DW,20,0)=0,"",VLOOKUP(B6,[1]Summary!$C:$DW,20,0))</f>
        <v/>
      </c>
      <c r="D6" s="37"/>
      <c r="E6" s="35"/>
    </row>
    <row r="7" spans="1:5" ht="26.4" x14ac:dyDescent="0.7">
      <c r="A7" s="17">
        <v>2</v>
      </c>
      <c r="B7" s="35" t="s">
        <v>30</v>
      </c>
      <c r="C7" s="36">
        <f>IF(VLOOKUP(B7,[1]Summary!$C:$DW,20,0)=0,"",VLOOKUP(B7,[1]Summary!$C:$DW,20,0))</f>
        <v>30</v>
      </c>
      <c r="D7" s="37"/>
      <c r="E7" s="35"/>
    </row>
    <row r="8" spans="1:5" ht="26.4" x14ac:dyDescent="0.7">
      <c r="A8" s="17">
        <v>3</v>
      </c>
      <c r="B8" s="35" t="s">
        <v>31</v>
      </c>
      <c r="C8" s="36">
        <f>IF(VLOOKUP(B8,[1]Summary!$C:$DW,20,0)=0,"",VLOOKUP(B8,[1]Summary!$C:$DW,20,0))</f>
        <v>10</v>
      </c>
      <c r="D8" s="37"/>
      <c r="E8" s="38"/>
    </row>
    <row r="9" spans="1:5" ht="26.4" x14ac:dyDescent="0.7">
      <c r="A9" s="17">
        <v>4</v>
      </c>
      <c r="B9" s="35" t="s">
        <v>32</v>
      </c>
      <c r="C9" s="36" t="str">
        <f>IF(VLOOKUP(B9,[1]Summary!$C:$DW,20,0)=0,"",VLOOKUP(B9,[1]Summary!$C:$DW,20,0))</f>
        <v/>
      </c>
      <c r="D9" s="37"/>
      <c r="E9" s="35"/>
    </row>
    <row r="10" spans="1:5" ht="26.4" x14ac:dyDescent="0.7">
      <c r="A10" s="17">
        <v>5</v>
      </c>
      <c r="B10" s="35" t="s">
        <v>63</v>
      </c>
      <c r="C10" s="36">
        <f>IF(VLOOKUP(B10,[1]Summary!$C:$DW,20,0)=0,"",VLOOKUP(B10,[1]Summary!$C:$DW,20,0))</f>
        <v>10</v>
      </c>
      <c r="D10" s="37"/>
      <c r="E10" s="35"/>
    </row>
    <row r="11" spans="1:5" ht="26.4" x14ac:dyDescent="0.7">
      <c r="A11" s="17">
        <v>6</v>
      </c>
      <c r="B11" s="35" t="s">
        <v>33</v>
      </c>
      <c r="C11" s="36" t="str">
        <f>IF(VLOOKUP(B11,[1]Summary!$C:$DW,20,0)=0,"",VLOOKUP(B11,[1]Summary!$C:$DW,20,0))</f>
        <v/>
      </c>
      <c r="D11" s="37"/>
      <c r="E11" s="35"/>
    </row>
    <row r="12" spans="1:5" ht="26.4" x14ac:dyDescent="0.7">
      <c r="A12" s="17">
        <v>7</v>
      </c>
      <c r="B12" s="35" t="s">
        <v>34</v>
      </c>
      <c r="C12" s="36">
        <f>IF(VLOOKUP(B12,[1]Summary!$C:$DW,20,0)=0,"",VLOOKUP(B12,[1]Summary!$C:$DW,20,0))</f>
        <v>5</v>
      </c>
      <c r="D12" s="37"/>
      <c r="E12" s="35"/>
    </row>
    <row r="13" spans="1:5" ht="26.4" x14ac:dyDescent="0.7">
      <c r="A13" s="17">
        <v>8</v>
      </c>
      <c r="B13" s="35" t="s">
        <v>40</v>
      </c>
      <c r="C13" s="36" t="str">
        <f>IF(VLOOKUP(B13,[1]Summary!$C:$DW,20,0)=0,"",VLOOKUP(B13,[1]Summary!$C:$DW,20,0))</f>
        <v/>
      </c>
      <c r="D13" s="37"/>
      <c r="E13" s="35"/>
    </row>
    <row r="14" spans="1:5" ht="26.4" x14ac:dyDescent="0.7">
      <c r="A14" s="17">
        <v>9</v>
      </c>
      <c r="B14" s="35" t="s">
        <v>85</v>
      </c>
      <c r="C14" s="36" t="str">
        <f>IF(VLOOKUP(B14,[1]Summary!$C:$DW,20,0)=0,"",VLOOKUP(B14,[1]Summary!$C:$DW,20,0))</f>
        <v/>
      </c>
      <c r="D14" s="37"/>
      <c r="E14" s="35"/>
    </row>
    <row r="15" spans="1:5" ht="26.4" x14ac:dyDescent="0.7">
      <c r="A15" s="17">
        <v>10</v>
      </c>
      <c r="B15" s="35" t="s">
        <v>86</v>
      </c>
      <c r="C15" s="36" t="str">
        <f>IF(VLOOKUP(B15,[1]Summary!$C:$DW,20,0)=0,"",VLOOKUP(B15,[1]Summary!$C:$DW,20,0))</f>
        <v/>
      </c>
      <c r="D15" s="37"/>
      <c r="E15" s="35"/>
    </row>
    <row r="16" spans="1:5" ht="26.4" x14ac:dyDescent="0.7">
      <c r="A16" s="17">
        <v>11</v>
      </c>
      <c r="B16" s="35" t="s">
        <v>62</v>
      </c>
      <c r="C16" s="36">
        <f>IF(VLOOKUP(B16,[1]Summary!$C:$DW,20,0)=0,"",VLOOKUP(B16,[1]Summary!$C:$DW,20,0))</f>
        <v>5</v>
      </c>
      <c r="D16" s="37"/>
      <c r="E16" s="39" t="s">
        <v>87</v>
      </c>
    </row>
    <row r="17" spans="1:5" ht="26.4" x14ac:dyDescent="0.7">
      <c r="A17" s="17">
        <v>12</v>
      </c>
      <c r="B17" s="35" t="s">
        <v>88</v>
      </c>
      <c r="C17" s="36" t="str">
        <f>IF(VLOOKUP(B17,[1]Summary!$C:$DW,20,0)=0,"",VLOOKUP(B17,[1]Summary!$C:$DW,20,0))</f>
        <v/>
      </c>
      <c r="D17" s="37"/>
      <c r="E17" s="35"/>
    </row>
    <row r="18" spans="1:5" ht="26.4" x14ac:dyDescent="0.7">
      <c r="A18" s="17">
        <v>14</v>
      </c>
      <c r="B18" s="35" t="s">
        <v>89</v>
      </c>
      <c r="C18" s="36" t="str">
        <f>IF(VLOOKUP(B18,[1]Summary!$C:$DW,20,0)=0,"",VLOOKUP(B18,[1]Summary!$C:$DW,20,0))</f>
        <v/>
      </c>
      <c r="D18" s="37"/>
      <c r="E18" s="35"/>
    </row>
    <row r="19" spans="1:5" ht="26.4" x14ac:dyDescent="0.7">
      <c r="A19" s="17">
        <v>16</v>
      </c>
      <c r="B19" s="35" t="s">
        <v>90</v>
      </c>
      <c r="C19" s="36" t="str">
        <f>IF(VLOOKUP(B19,[1]Summary!$C:$DW,20,0)=0,"",VLOOKUP(B19,[1]Summary!$C:$DW,20,0))</f>
        <v/>
      </c>
      <c r="D19" s="37"/>
      <c r="E19" s="35"/>
    </row>
    <row r="20" spans="1:5" ht="26.4" x14ac:dyDescent="0.7">
      <c r="A20" s="17">
        <v>17</v>
      </c>
      <c r="B20" s="40" t="s">
        <v>91</v>
      </c>
      <c r="C20" s="36" t="str">
        <f>IF(VLOOKUP(B20,[1]Summary!$C:$DW,20,0)=0,"",VLOOKUP(B20,[1]Summary!$C:$DW,20,0))</f>
        <v/>
      </c>
      <c r="D20" s="37"/>
      <c r="E20" s="35"/>
    </row>
    <row r="21" spans="1:5" ht="26.4" x14ac:dyDescent="0.7">
      <c r="A21" s="17"/>
      <c r="B21" s="35"/>
      <c r="C21" s="36"/>
      <c r="D21" s="37"/>
      <c r="E21" s="35"/>
    </row>
    <row r="22" spans="1:5" ht="26.4" x14ac:dyDescent="0.7">
      <c r="B22" s="35" t="s">
        <v>78</v>
      </c>
      <c r="C22" s="36">
        <f>SUM(C6:C21)</f>
        <v>60</v>
      </c>
      <c r="D22" s="41"/>
      <c r="E22" s="26"/>
    </row>
    <row r="23" spans="1:5" x14ac:dyDescent="0.25">
      <c r="C23" s="42"/>
    </row>
    <row r="25" spans="1:5" ht="24" thickBot="1" x14ac:dyDescent="0.65">
      <c r="B25" s="43" t="s">
        <v>92</v>
      </c>
      <c r="C25" s="44"/>
      <c r="D25" s="45" t="s">
        <v>93</v>
      </c>
      <c r="E25" s="46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2026-06-10T09:28:16Z</dcterms:created>
  <dcterms:modified xsi:type="dcterms:W3CDTF">2026-06-10T09:29:39Z</dcterms:modified>
</cp:coreProperties>
</file>